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8_{4B5D7417-4377-44AB-9891-84AA03DB349D}" xr6:coauthVersionLast="37" xr6:coauthVersionMax="37" xr10:uidLastSave="{00000000-0000-0000-0000-000000000000}"/>
  <bookViews>
    <workbookView xWindow="0" yWindow="0" windowWidth="23040" windowHeight="9060" activeTab="1" xr2:uid="{00000000-000D-0000-FFFF-FFFF00000000}"/>
  </bookViews>
  <sheets>
    <sheet name="Показатели преступности России" sheetId="1" r:id="rId1"/>
    <sheet name="2020 г." sheetId="4" r:id="rId2"/>
    <sheet name="2021 г." sheetId="3" r:id="rId3"/>
  </sheets>
  <externalReferences>
    <externalReference r:id="rId4"/>
  </externalReferences>
  <definedNames>
    <definedName name="_xlchart.v1.0" hidden="1">[1]Иванов!$B$3:$B$87</definedName>
    <definedName name="_xlchart.v1.1" hidden="1">'2021 г.'!$B$3:$B$87</definedName>
    <definedName name="_xlnm._FilterDatabase" localSheetId="2" hidden="1">'2021 г.'!$A$1:$B$83</definedName>
  </definedNames>
  <calcPr calcId="179021"/>
</workbook>
</file>

<file path=xl/calcChain.xml><?xml version="1.0" encoding="utf-8"?>
<calcChain xmlns="http://schemas.openxmlformats.org/spreadsheetml/2006/main">
  <c r="F12" i="4" l="1"/>
  <c r="F8" i="4"/>
  <c r="AB154" i="4"/>
  <c r="AA154" i="4"/>
  <c r="AC129" i="4"/>
  <c r="U10" i="4"/>
  <c r="S10" i="4"/>
  <c r="F10" i="4"/>
  <c r="F11" i="4" s="1"/>
  <c r="F9" i="4"/>
  <c r="H9" i="4" s="1"/>
  <c r="AA7" i="4"/>
  <c r="AA12" i="4" s="1"/>
  <c r="F13" i="4" l="1"/>
  <c r="AC12" i="4"/>
  <c r="AB12" i="4"/>
  <c r="I9" i="4"/>
  <c r="AA18" i="4"/>
  <c r="AA22" i="4"/>
  <c r="AA26" i="4"/>
  <c r="AA30" i="4"/>
  <c r="AA34" i="4"/>
  <c r="AA38" i="4"/>
  <c r="AA42" i="4"/>
  <c r="AA46" i="4"/>
  <c r="AA50" i="4"/>
  <c r="AA54" i="4"/>
  <c r="AA58" i="4"/>
  <c r="AA62" i="4"/>
  <c r="AA66" i="4"/>
  <c r="AA70" i="4"/>
  <c r="AA74" i="4"/>
  <c r="AA78" i="4"/>
  <c r="AA82" i="4"/>
  <c r="AA86" i="4"/>
  <c r="AA90" i="4"/>
  <c r="AA13" i="4"/>
  <c r="AA11" i="4"/>
  <c r="AA100" i="4"/>
  <c r="AA155" i="4" s="1"/>
  <c r="AA15" i="4"/>
  <c r="AA19" i="4"/>
  <c r="AA23" i="4"/>
  <c r="AA27" i="4"/>
  <c r="AA31" i="4"/>
  <c r="AA35" i="4"/>
  <c r="AA39" i="4"/>
  <c r="AA43" i="4"/>
  <c r="AA47" i="4"/>
  <c r="AA51" i="4"/>
  <c r="AA55" i="4"/>
  <c r="AA59" i="4"/>
  <c r="AA63" i="4"/>
  <c r="AA67" i="4"/>
  <c r="AA71" i="4"/>
  <c r="AA75" i="4"/>
  <c r="AA79" i="4"/>
  <c r="AA83" i="4"/>
  <c r="AA87" i="4"/>
  <c r="AA91" i="4"/>
  <c r="AA14" i="4"/>
  <c r="AA16" i="4"/>
  <c r="AA20" i="4"/>
  <c r="AA24" i="4"/>
  <c r="AA28" i="4"/>
  <c r="AA32" i="4"/>
  <c r="AA36" i="4"/>
  <c r="AA40" i="4"/>
  <c r="AA44" i="4"/>
  <c r="AA48" i="4"/>
  <c r="AA52" i="4"/>
  <c r="AA56" i="4"/>
  <c r="AA60" i="4"/>
  <c r="AA64" i="4"/>
  <c r="AA68" i="4"/>
  <c r="AA72" i="4"/>
  <c r="AA76" i="4"/>
  <c r="AA80" i="4"/>
  <c r="AA84" i="4"/>
  <c r="AA88" i="4"/>
  <c r="AA92" i="4"/>
  <c r="AA150" i="4"/>
  <c r="AA17" i="4"/>
  <c r="AA21" i="4"/>
  <c r="AA25" i="4"/>
  <c r="AA29" i="4"/>
  <c r="AA33" i="4"/>
  <c r="AA37" i="4"/>
  <c r="AA41" i="4"/>
  <c r="AA45" i="4"/>
  <c r="AA49" i="4"/>
  <c r="AA53" i="4"/>
  <c r="AA57" i="4"/>
  <c r="AA61" i="4"/>
  <c r="AA65" i="4"/>
  <c r="AA69" i="4"/>
  <c r="AA73" i="4"/>
  <c r="AA77" i="4"/>
  <c r="AA81" i="4"/>
  <c r="AA85" i="4"/>
  <c r="AA89" i="4"/>
  <c r="AC7" i="3"/>
  <c r="AC87" i="3" s="1"/>
  <c r="AD87" i="3" s="1"/>
  <c r="AE87" i="3" s="1"/>
  <c r="AC77" i="4" l="1"/>
  <c r="AB77" i="4"/>
  <c r="AC64" i="4"/>
  <c r="AB64" i="4"/>
  <c r="AC16" i="4"/>
  <c r="AB16" i="4"/>
  <c r="AC51" i="4"/>
  <c r="AB51" i="4"/>
  <c r="AC13" i="4"/>
  <c r="AB13" i="4"/>
  <c r="AC46" i="4"/>
  <c r="AB46" i="4"/>
  <c r="AC25" i="4"/>
  <c r="AB25" i="4"/>
  <c r="AB56" i="4"/>
  <c r="AC56" i="4"/>
  <c r="AC91" i="4"/>
  <c r="AB91" i="4"/>
  <c r="AC43" i="4"/>
  <c r="AB43" i="4"/>
  <c r="AC86" i="4"/>
  <c r="AB86" i="4"/>
  <c r="AC38" i="4"/>
  <c r="AB38" i="4"/>
  <c r="AC60" i="4"/>
  <c r="AB60" i="4"/>
  <c r="AC34" i="4"/>
  <c r="AB34" i="4"/>
  <c r="AC79" i="4"/>
  <c r="AB79" i="4"/>
  <c r="AC74" i="4"/>
  <c r="AB74" i="4"/>
  <c r="AC26" i="4"/>
  <c r="AB26" i="4"/>
  <c r="AC47" i="4"/>
  <c r="AB47" i="4"/>
  <c r="AC82" i="4"/>
  <c r="AB82" i="4"/>
  <c r="AC48" i="4"/>
  <c r="AB48" i="4"/>
  <c r="AB40" i="4"/>
  <c r="AC40" i="4"/>
  <c r="AC75" i="4"/>
  <c r="AB75" i="4"/>
  <c r="AC27" i="4"/>
  <c r="AB27" i="4"/>
  <c r="AC70" i="4"/>
  <c r="AB70" i="4"/>
  <c r="AC22" i="4"/>
  <c r="AB22" i="4"/>
  <c r="AC42" i="4"/>
  <c r="AB42" i="4"/>
  <c r="AC39" i="4"/>
  <c r="AB39" i="4"/>
  <c r="AC61" i="4"/>
  <c r="AB61" i="4"/>
  <c r="AC31" i="4"/>
  <c r="AB31" i="4"/>
  <c r="AC71" i="4"/>
  <c r="AB71" i="4"/>
  <c r="AC23" i="4"/>
  <c r="AB23" i="4"/>
  <c r="AC66" i="4"/>
  <c r="AB66" i="4"/>
  <c r="AC18" i="4"/>
  <c r="AB18" i="4"/>
  <c r="AC73" i="4"/>
  <c r="AB73" i="4"/>
  <c r="AC21" i="4"/>
  <c r="AB21" i="4"/>
  <c r="AC17" i="4"/>
  <c r="AB17" i="4"/>
  <c r="AC35" i="4"/>
  <c r="AB35" i="4"/>
  <c r="AC57" i="4"/>
  <c r="AB57" i="4"/>
  <c r="AC88" i="4"/>
  <c r="AB88" i="4"/>
  <c r="AB32" i="4"/>
  <c r="AC32" i="4"/>
  <c r="AC62" i="4"/>
  <c r="AB62" i="4"/>
  <c r="H10" i="4"/>
  <c r="AC14" i="4"/>
  <c r="AB14" i="4"/>
  <c r="AC65" i="4"/>
  <c r="AB65" i="4"/>
  <c r="AC87" i="4"/>
  <c r="AB87" i="4"/>
  <c r="AC83" i="4"/>
  <c r="AB83" i="4"/>
  <c r="AB44" i="4"/>
  <c r="AC44" i="4"/>
  <c r="AC84" i="4"/>
  <c r="AB84" i="4"/>
  <c r="AC80" i="4"/>
  <c r="AB80" i="4"/>
  <c r="AC89" i="4"/>
  <c r="AB89" i="4"/>
  <c r="AC28" i="4"/>
  <c r="AB28" i="4"/>
  <c r="AC15" i="4"/>
  <c r="AB15" i="4"/>
  <c r="AC58" i="4"/>
  <c r="AB58" i="4"/>
  <c r="J9" i="4"/>
  <c r="AC29" i="4"/>
  <c r="AB29" i="4"/>
  <c r="AC69" i="4"/>
  <c r="AB69" i="4"/>
  <c r="AC78" i="4"/>
  <c r="AB78" i="4"/>
  <c r="AC92" i="4"/>
  <c r="AB92" i="4"/>
  <c r="AC49" i="4"/>
  <c r="AB49" i="4"/>
  <c r="AC45" i="4"/>
  <c r="AB45" i="4"/>
  <c r="AC19" i="4"/>
  <c r="AB19" i="4"/>
  <c r="AC41" i="4"/>
  <c r="AB41" i="4"/>
  <c r="AC76" i="4"/>
  <c r="AB76" i="4"/>
  <c r="AC63" i="4"/>
  <c r="AB63" i="4"/>
  <c r="AC85" i="4"/>
  <c r="AB85" i="4"/>
  <c r="AC37" i="4"/>
  <c r="AB37" i="4"/>
  <c r="AB72" i="4"/>
  <c r="AC72" i="4"/>
  <c r="AC24" i="4"/>
  <c r="AB24" i="4"/>
  <c r="AC59" i="4"/>
  <c r="AB59" i="4"/>
  <c r="AC54" i="4"/>
  <c r="AB54" i="4"/>
  <c r="AC90" i="4"/>
  <c r="AB90" i="4"/>
  <c r="AB52" i="4"/>
  <c r="AC52" i="4"/>
  <c r="AC30" i="4"/>
  <c r="AB30" i="4"/>
  <c r="AC53" i="4"/>
  <c r="AB53" i="4"/>
  <c r="AC36" i="4"/>
  <c r="AB36" i="4"/>
  <c r="AC67" i="4"/>
  <c r="AB67" i="4"/>
  <c r="AC81" i="4"/>
  <c r="AB81" i="4"/>
  <c r="AC33" i="4"/>
  <c r="AB33" i="4"/>
  <c r="AC68" i="4"/>
  <c r="AB68" i="4"/>
  <c r="AB20" i="4"/>
  <c r="AC20" i="4"/>
  <c r="AC55" i="4"/>
  <c r="AB55" i="4"/>
  <c r="AC11" i="4"/>
  <c r="AB11" i="4"/>
  <c r="AC50" i="4"/>
  <c r="AB50" i="4"/>
  <c r="AJ24" i="3"/>
  <c r="AI27" i="3"/>
  <c r="AI26" i="3"/>
  <c r="AI25" i="3"/>
  <c r="AH24" i="3"/>
  <c r="AI24" i="3"/>
  <c r="AD51" i="3"/>
  <c r="AE51" i="3" s="1"/>
  <c r="AD75" i="3"/>
  <c r="AE75" i="3" s="1"/>
  <c r="AD79" i="3"/>
  <c r="AE79" i="3" s="1"/>
  <c r="AC12" i="3"/>
  <c r="AD12" i="3" s="1"/>
  <c r="AE12" i="3" s="1"/>
  <c r="AC13" i="3"/>
  <c r="AD13" i="3" s="1"/>
  <c r="AE13" i="3" s="1"/>
  <c r="AC14" i="3"/>
  <c r="AD14" i="3" s="1"/>
  <c r="AE14" i="3" s="1"/>
  <c r="AC15" i="3"/>
  <c r="AD15" i="3" s="1"/>
  <c r="AE15" i="3" s="1"/>
  <c r="AC16" i="3"/>
  <c r="AD16" i="3" s="1"/>
  <c r="AE16" i="3" s="1"/>
  <c r="AC17" i="3"/>
  <c r="AD17" i="3" s="1"/>
  <c r="AE17" i="3" s="1"/>
  <c r="AC18" i="3"/>
  <c r="AD18" i="3" s="1"/>
  <c r="AE18" i="3" s="1"/>
  <c r="AC19" i="3"/>
  <c r="AD19" i="3" s="1"/>
  <c r="AE19" i="3" s="1"/>
  <c r="AC20" i="3"/>
  <c r="AD20" i="3" s="1"/>
  <c r="AE20" i="3" s="1"/>
  <c r="AC21" i="3"/>
  <c r="AD21" i="3" s="1"/>
  <c r="AE21" i="3" s="1"/>
  <c r="AC22" i="3"/>
  <c r="AD22" i="3" s="1"/>
  <c r="AE22" i="3" s="1"/>
  <c r="AC23" i="3"/>
  <c r="AD23" i="3" s="1"/>
  <c r="AE23" i="3" s="1"/>
  <c r="AC24" i="3"/>
  <c r="AD24" i="3" s="1"/>
  <c r="AE24" i="3" s="1"/>
  <c r="AC25" i="3"/>
  <c r="AD25" i="3" s="1"/>
  <c r="AE25" i="3" s="1"/>
  <c r="AC26" i="3"/>
  <c r="AD26" i="3" s="1"/>
  <c r="AE26" i="3" s="1"/>
  <c r="AC27" i="3"/>
  <c r="AD27" i="3" s="1"/>
  <c r="AE27" i="3" s="1"/>
  <c r="AC28" i="3"/>
  <c r="AD28" i="3" s="1"/>
  <c r="AE28" i="3" s="1"/>
  <c r="AC29" i="3"/>
  <c r="AD29" i="3" s="1"/>
  <c r="AE29" i="3" s="1"/>
  <c r="AC30" i="3"/>
  <c r="AD30" i="3" s="1"/>
  <c r="AE30" i="3" s="1"/>
  <c r="AC31" i="3"/>
  <c r="AD31" i="3" s="1"/>
  <c r="AE31" i="3" s="1"/>
  <c r="AC32" i="3"/>
  <c r="AD32" i="3" s="1"/>
  <c r="AE32" i="3" s="1"/>
  <c r="AC33" i="3"/>
  <c r="AD33" i="3" s="1"/>
  <c r="AE33" i="3" s="1"/>
  <c r="AC34" i="3"/>
  <c r="AD34" i="3" s="1"/>
  <c r="AE34" i="3" s="1"/>
  <c r="AC35" i="3"/>
  <c r="AD35" i="3" s="1"/>
  <c r="AE35" i="3" s="1"/>
  <c r="AC36" i="3"/>
  <c r="AD36" i="3" s="1"/>
  <c r="AE36" i="3" s="1"/>
  <c r="AC37" i="3"/>
  <c r="AD37" i="3" s="1"/>
  <c r="AE37" i="3" s="1"/>
  <c r="AC38" i="3"/>
  <c r="AD38" i="3" s="1"/>
  <c r="AE38" i="3" s="1"/>
  <c r="AC39" i="3"/>
  <c r="AD39" i="3" s="1"/>
  <c r="AE39" i="3" s="1"/>
  <c r="AC40" i="3"/>
  <c r="AD40" i="3" s="1"/>
  <c r="AE40" i="3" s="1"/>
  <c r="AC41" i="3"/>
  <c r="AD41" i="3" s="1"/>
  <c r="AE41" i="3" s="1"/>
  <c r="AC42" i="3"/>
  <c r="AD42" i="3" s="1"/>
  <c r="AE42" i="3" s="1"/>
  <c r="AC43" i="3"/>
  <c r="AD43" i="3" s="1"/>
  <c r="AE43" i="3" s="1"/>
  <c r="AC44" i="3"/>
  <c r="AD44" i="3" s="1"/>
  <c r="AE44" i="3" s="1"/>
  <c r="AC45" i="3"/>
  <c r="AD45" i="3" s="1"/>
  <c r="AE45" i="3" s="1"/>
  <c r="AC46" i="3"/>
  <c r="AD46" i="3" s="1"/>
  <c r="AE46" i="3" s="1"/>
  <c r="AC47" i="3"/>
  <c r="AD47" i="3" s="1"/>
  <c r="AE47" i="3" s="1"/>
  <c r="AC48" i="3"/>
  <c r="AD48" i="3" s="1"/>
  <c r="AE48" i="3" s="1"/>
  <c r="AC49" i="3"/>
  <c r="AD49" i="3" s="1"/>
  <c r="AE49" i="3" s="1"/>
  <c r="AC50" i="3"/>
  <c r="AD50" i="3" s="1"/>
  <c r="AE50" i="3" s="1"/>
  <c r="AC51" i="3"/>
  <c r="AC52" i="3"/>
  <c r="AD52" i="3" s="1"/>
  <c r="AE52" i="3" s="1"/>
  <c r="AC53" i="3"/>
  <c r="AD53" i="3" s="1"/>
  <c r="AE53" i="3" s="1"/>
  <c r="AC54" i="3"/>
  <c r="AD54" i="3" s="1"/>
  <c r="AE54" i="3" s="1"/>
  <c r="AC55" i="3"/>
  <c r="AD55" i="3" s="1"/>
  <c r="AE55" i="3" s="1"/>
  <c r="AC56" i="3"/>
  <c r="AD56" i="3" s="1"/>
  <c r="AE56" i="3" s="1"/>
  <c r="AC57" i="3"/>
  <c r="AD57" i="3" s="1"/>
  <c r="AE57" i="3" s="1"/>
  <c r="AC58" i="3"/>
  <c r="AD58" i="3" s="1"/>
  <c r="AE58" i="3" s="1"/>
  <c r="AC59" i="3"/>
  <c r="AD59" i="3" s="1"/>
  <c r="AE59" i="3" s="1"/>
  <c r="AC60" i="3"/>
  <c r="AD60" i="3" s="1"/>
  <c r="AE60" i="3" s="1"/>
  <c r="AC61" i="3"/>
  <c r="AD61" i="3" s="1"/>
  <c r="AE61" i="3" s="1"/>
  <c r="AC62" i="3"/>
  <c r="AD62" i="3" s="1"/>
  <c r="AE62" i="3" s="1"/>
  <c r="AC63" i="3"/>
  <c r="AD63" i="3" s="1"/>
  <c r="AE63" i="3" s="1"/>
  <c r="AC64" i="3"/>
  <c r="AD64" i="3" s="1"/>
  <c r="AE64" i="3" s="1"/>
  <c r="AC65" i="3"/>
  <c r="AD65" i="3" s="1"/>
  <c r="AE65" i="3" s="1"/>
  <c r="AC66" i="3"/>
  <c r="AD66" i="3" s="1"/>
  <c r="AE66" i="3" s="1"/>
  <c r="AC67" i="3"/>
  <c r="AD67" i="3" s="1"/>
  <c r="AE67" i="3" s="1"/>
  <c r="AC68" i="3"/>
  <c r="AD68" i="3" s="1"/>
  <c r="AE68" i="3" s="1"/>
  <c r="AC69" i="3"/>
  <c r="AD69" i="3" s="1"/>
  <c r="AE69" i="3" s="1"/>
  <c r="AC70" i="3"/>
  <c r="AD70" i="3" s="1"/>
  <c r="AE70" i="3" s="1"/>
  <c r="AC71" i="3"/>
  <c r="AD71" i="3" s="1"/>
  <c r="AE71" i="3" s="1"/>
  <c r="AC72" i="3"/>
  <c r="AD72" i="3" s="1"/>
  <c r="AE72" i="3" s="1"/>
  <c r="AC73" i="3"/>
  <c r="AD73" i="3" s="1"/>
  <c r="AE73" i="3" s="1"/>
  <c r="AC74" i="3"/>
  <c r="AD74" i="3" s="1"/>
  <c r="AE74" i="3" s="1"/>
  <c r="AC75" i="3"/>
  <c r="AC76" i="3"/>
  <c r="AD76" i="3" s="1"/>
  <c r="AE76" i="3" s="1"/>
  <c r="AC77" i="3"/>
  <c r="AD77" i="3" s="1"/>
  <c r="AE77" i="3" s="1"/>
  <c r="AC78" i="3"/>
  <c r="AD78" i="3" s="1"/>
  <c r="AE78" i="3" s="1"/>
  <c r="AC79" i="3"/>
  <c r="AC80" i="3"/>
  <c r="AD80" i="3" s="1"/>
  <c r="AE80" i="3" s="1"/>
  <c r="AC81" i="3"/>
  <c r="AD81" i="3" s="1"/>
  <c r="AE81" i="3" s="1"/>
  <c r="AC82" i="3"/>
  <c r="AD82" i="3" s="1"/>
  <c r="AE82" i="3" s="1"/>
  <c r="AC83" i="3"/>
  <c r="AD83" i="3" s="1"/>
  <c r="AE83" i="3" s="1"/>
  <c r="AC84" i="3"/>
  <c r="AD84" i="3" s="1"/>
  <c r="AE84" i="3" s="1"/>
  <c r="AC85" i="3"/>
  <c r="AD85" i="3" s="1"/>
  <c r="AE85" i="3" s="1"/>
  <c r="AC86" i="3"/>
  <c r="AD86" i="3" s="1"/>
  <c r="AE86" i="3" s="1"/>
  <c r="AC88" i="3"/>
  <c r="AD88" i="3" s="1"/>
  <c r="AE88" i="3" s="1"/>
  <c r="AC89" i="3"/>
  <c r="AD89" i="3" s="1"/>
  <c r="AE89" i="3" s="1"/>
  <c r="AC90" i="3"/>
  <c r="AD90" i="3" s="1"/>
  <c r="AE90" i="3" s="1"/>
  <c r="AC91" i="3"/>
  <c r="AD91" i="3" s="1"/>
  <c r="AE91" i="3" s="1"/>
  <c r="AC92" i="3"/>
  <c r="AD92" i="3" s="1"/>
  <c r="AE92" i="3" s="1"/>
  <c r="AC11" i="3"/>
  <c r="AD11" i="3" s="1"/>
  <c r="AE11" i="3" s="1"/>
  <c r="I10" i="4" l="1"/>
  <c r="AB93" i="4"/>
  <c r="AA96" i="4" s="1"/>
  <c r="AC93" i="4"/>
  <c r="AA98" i="4" s="1"/>
  <c r="AH31" i="3"/>
  <c r="AH39" i="3" s="1"/>
  <c r="AH25" i="3"/>
  <c r="AH26" i="3" s="1"/>
  <c r="AH27" i="3"/>
  <c r="AH30" i="3" s="1"/>
  <c r="U9" i="3"/>
  <c r="S9" i="3"/>
  <c r="AC135" i="4" l="1"/>
  <c r="AA102" i="4"/>
  <c r="AA156" i="4" s="1"/>
  <c r="AA153" i="4"/>
  <c r="AA151" i="4"/>
  <c r="AA97" i="4"/>
  <c r="H11" i="4"/>
  <c r="J10" i="4"/>
  <c r="AH38" i="3"/>
  <c r="F12" i="3"/>
  <c r="F10" i="3"/>
  <c r="F9" i="3"/>
  <c r="H9" i="3" s="1"/>
  <c r="AC134" i="4" l="1"/>
  <c r="AA101" i="4"/>
  <c r="AA157" i="4" s="1"/>
  <c r="AC128" i="4"/>
  <c r="AA152" i="4"/>
  <c r="I11" i="4"/>
  <c r="F11" i="3"/>
  <c r="AH28" i="3" s="1"/>
  <c r="H12" i="4" l="1"/>
  <c r="J11" i="4"/>
  <c r="AC142" i="4"/>
  <c r="AC141" i="4"/>
  <c r="F13" i="3"/>
  <c r="I9" i="3" s="1"/>
  <c r="H10" i="3" s="1"/>
  <c r="J9" i="3"/>
  <c r="AJ28" i="3"/>
  <c r="AJ29" i="3" s="1"/>
  <c r="AH29" i="3"/>
  <c r="AH37" i="3"/>
  <c r="I10" i="3"/>
  <c r="I12" i="4" l="1"/>
  <c r="H11" i="3"/>
  <c r="J10" i="3"/>
  <c r="H13" i="4" l="1"/>
  <c r="J12" i="4"/>
  <c r="I11" i="3"/>
  <c r="J11" i="3" s="1"/>
  <c r="I13" i="4" l="1"/>
  <c r="H12" i="3"/>
  <c r="H14" i="4" l="1"/>
  <c r="J13" i="4"/>
  <c r="I12" i="3"/>
  <c r="I14" i="4" l="1"/>
  <c r="H15" i="4" s="1"/>
  <c r="H13" i="3"/>
  <c r="J12" i="3"/>
  <c r="I15" i="4" l="1"/>
  <c r="K9" i="4" s="1" a="1"/>
  <c r="J14" i="4"/>
  <c r="I13" i="3"/>
  <c r="K16" i="4" l="1"/>
  <c r="K13" i="4"/>
  <c r="M13" i="4" s="1"/>
  <c r="K11" i="4"/>
  <c r="M11" i="4" s="1"/>
  <c r="K14" i="4"/>
  <c r="K12" i="4"/>
  <c r="M12" i="4" s="1"/>
  <c r="K10" i="4"/>
  <c r="K9" i="4"/>
  <c r="K15" i="4"/>
  <c r="M14" i="4"/>
  <c r="J15" i="4"/>
  <c r="H14" i="3"/>
  <c r="J13" i="3"/>
  <c r="L9" i="4" l="1"/>
  <c r="M9" i="4"/>
  <c r="T15" i="4"/>
  <c r="M10" i="4"/>
  <c r="M15" i="4"/>
  <c r="AA106" i="4"/>
  <c r="I14" i="3"/>
  <c r="H15" i="3" s="1"/>
  <c r="AF110" i="4" l="1"/>
  <c r="AA122" i="4"/>
  <c r="AB155" i="4" s="1"/>
  <c r="AB150" i="4"/>
  <c r="AF112" i="4"/>
  <c r="AF114" i="4"/>
  <c r="AF109" i="4"/>
  <c r="AF111" i="4"/>
  <c r="AC143" i="4"/>
  <c r="AF113" i="4"/>
  <c r="AF115" i="4"/>
  <c r="P8" i="4"/>
  <c r="S15" i="4" s="1"/>
  <c r="L10" i="4"/>
  <c r="L11" i="4" s="1"/>
  <c r="L12" i="4" s="1"/>
  <c r="L13" i="4" s="1"/>
  <c r="L14" i="4" s="1"/>
  <c r="L15" i="4" s="1"/>
  <c r="I15" i="3"/>
  <c r="J14" i="3"/>
  <c r="AI115" i="4" l="1"/>
  <c r="AJ115" i="4" s="1"/>
  <c r="AG115" i="4"/>
  <c r="AH115" i="4" s="1"/>
  <c r="AG111" i="4"/>
  <c r="AH111" i="4" s="1"/>
  <c r="AI111" i="4"/>
  <c r="AJ111" i="4" s="1"/>
  <c r="AI114" i="4"/>
  <c r="AJ114" i="4" s="1"/>
  <c r="AG114" i="4"/>
  <c r="AH114" i="4" s="1"/>
  <c r="AI113" i="4"/>
  <c r="AJ113" i="4" s="1"/>
  <c r="AG113" i="4"/>
  <c r="AH113" i="4" s="1"/>
  <c r="AI109" i="4"/>
  <c r="AJ109" i="4" s="1"/>
  <c r="AG109" i="4"/>
  <c r="AH109" i="4" s="1"/>
  <c r="AG112" i="4"/>
  <c r="AH112" i="4" s="1"/>
  <c r="AI112" i="4"/>
  <c r="AJ112" i="4" s="1"/>
  <c r="U15" i="4"/>
  <c r="AI110" i="4"/>
  <c r="AJ110" i="4" s="1"/>
  <c r="AG110" i="4"/>
  <c r="AH110" i="4" s="1"/>
  <c r="K9" i="3" a="1"/>
  <c r="K13" i="3" s="1"/>
  <c r="M13" i="3" s="1"/>
  <c r="AH36" i="3"/>
  <c r="J15" i="3"/>
  <c r="AJ116" i="4" l="1"/>
  <c r="AA120" i="4" s="1"/>
  <c r="AB153" i="4" s="1"/>
  <c r="AH116" i="4"/>
  <c r="AA118" i="4" s="1"/>
  <c r="K12" i="3"/>
  <c r="M12" i="3" s="1"/>
  <c r="K15" i="3"/>
  <c r="K14" i="3"/>
  <c r="M14" i="3" s="1"/>
  <c r="K9" i="3"/>
  <c r="M9" i="3" s="1"/>
  <c r="K10" i="3"/>
  <c r="K11" i="3"/>
  <c r="M11" i="3" s="1"/>
  <c r="M10" i="3"/>
  <c r="T13" i="3"/>
  <c r="M15" i="3"/>
  <c r="L9" i="3"/>
  <c r="AA124" i="4" l="1"/>
  <c r="AB156" i="4" s="1"/>
  <c r="AB151" i="4"/>
  <c r="AA119" i="4"/>
  <c r="P8" i="3"/>
  <c r="L10" i="3"/>
  <c r="L11" i="3" s="1"/>
  <c r="L12" i="3" s="1"/>
  <c r="L13" i="3" s="1"/>
  <c r="L14" i="3" s="1"/>
  <c r="L15" i="3" s="1"/>
  <c r="U13" i="3"/>
  <c r="P9" i="3"/>
  <c r="S13" i="3"/>
  <c r="AA123" i="4" l="1"/>
  <c r="AB157" i="4" s="1"/>
  <c r="AB152" i="4"/>
  <c r="AG11" i="3"/>
  <c r="AH11" i="3" s="1"/>
  <c r="AG12" i="3"/>
  <c r="AH12" i="3" s="1"/>
  <c r="AG13" i="3"/>
  <c r="AH13" i="3" s="1"/>
  <c r="AG14" i="3"/>
  <c r="AH14" i="3" s="1"/>
  <c r="AG15" i="3"/>
  <c r="AH15" i="3" s="1"/>
  <c r="AG16" i="3"/>
  <c r="AH16" i="3" s="1"/>
  <c r="AG17" i="3"/>
  <c r="AH17" i="3" s="1"/>
  <c r="AK17" i="3" l="1"/>
  <c r="AI17" i="3"/>
  <c r="AJ17" i="3" s="1"/>
  <c r="AI16" i="3"/>
  <c r="AJ16" i="3" s="1"/>
  <c r="AK16" i="3"/>
  <c r="AI15" i="3"/>
  <c r="AJ15" i="3" s="1"/>
  <c r="AK15" i="3"/>
  <c r="AI14" i="3"/>
  <c r="AJ14" i="3" s="1"/>
  <c r="AK14" i="3"/>
  <c r="AI13" i="3"/>
  <c r="AJ13" i="3" s="1"/>
  <c r="AK13" i="3"/>
  <c r="AI12" i="3"/>
  <c r="AJ12" i="3" s="1"/>
  <c r="AK12" i="3"/>
  <c r="AK11" i="3"/>
  <c r="AI11" i="3"/>
  <c r="AJ11" i="3" s="1"/>
  <c r="AJ27" i="3" l="1"/>
  <c r="AJ30" i="3" s="1"/>
  <c r="AJ25" i="3"/>
  <c r="AJ26" i="3" s="1"/>
  <c r="AJ31" i="3" s="1"/>
</calcChain>
</file>

<file path=xl/sharedStrings.xml><?xml version="1.0" encoding="utf-8"?>
<sst xmlns="http://schemas.openxmlformats.org/spreadsheetml/2006/main" count="411" uniqueCount="199">
  <si>
    <t>Регионы</t>
  </si>
  <si>
    <t>Зарегистрировано преступлений в 2020 г.</t>
  </si>
  <si>
    <t>Зарегестрировано преступлений в 2021 г.</t>
  </si>
  <si>
    <t>Значение</t>
  </si>
  <si>
    <t>Источник</t>
  </si>
  <si>
    <t>http://crimestat.ru/offenses_table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</si>
  <si>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</si>
  <si>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</si>
  <si>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</si>
  <si>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</si>
  <si>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</si>
  <si>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</si>
  <si>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</si>
  <si>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</si>
  <si>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</si>
  <si>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</si>
  <si>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АО</t>
  </si>
  <si>
    <t>Забайкальский край</t>
  </si>
  <si>
    <t>Ивановская область</t>
  </si>
  <si>
    <t>Иркутская область</t>
  </si>
  <si>
    <t>Кабардино-Балкарская Респ.</t>
  </si>
  <si>
    <t>Калининградская область</t>
  </si>
  <si>
    <t>Калужская область</t>
  </si>
  <si>
    <t>Камчатский край</t>
  </si>
  <si>
    <t>Карачаево-Черкесская Респ.</t>
  </si>
  <si>
    <t>Кемеровская область-Кузбасс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</si>
  <si>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</si>
  <si>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</si>
  <si>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</si>
  <si>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</si>
  <si>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</si>
  <si>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</si>
  <si>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</si>
  <si>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</si>
  <si>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</si>
  <si>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</si>
  <si>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</si>
  <si>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АО</t>
  </si>
  <si>
    <t>Нижегородская область</t>
  </si>
  <si>
    <t>Новгородская 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</si>
  <si>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</si>
  <si>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</si>
  <si>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</si>
  <si>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</si>
  <si>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</si>
  <si>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</si>
  <si>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</si>
  <si>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</si>
  <si>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</si>
  <si>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</si>
  <si>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</si>
  <si>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</si>
  <si>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</si>
  <si>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</si>
  <si>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</si>
  <si>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</si>
  <si>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</si>
  <si>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</si>
  <si>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</si>
  <si>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</si>
  <si>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</si>
  <si>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Сев.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</si>
  <si>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</si>
  <si>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</si>
  <si>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</si>
  <si>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</si>
  <si>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</si>
  <si>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</si>
  <si>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</si>
  <si>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</si>
  <si>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</si>
  <si>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</si>
  <si>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</si>
  <si>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</si>
  <si>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</si>
  <si>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</si>
  <si>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</si>
  <si>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</si>
  <si>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 xml:space="preserve">Удмуртская Республика </t>
  </si>
  <si>
    <t>Ульяновская область</t>
  </si>
  <si>
    <t>Хабаровский край</t>
  </si>
  <si>
    <t>Ханты-Мансийский АО</t>
  </si>
  <si>
    <t>Челябинская область</t>
  </si>
  <si>
    <t>Чеченская Республика</t>
  </si>
  <si>
    <t>Чувашская Республика</t>
  </si>
  <si>
    <t>Чукотский АО</t>
  </si>
  <si>
    <t>Ямало-Ненецкий АО</t>
  </si>
  <si>
    <t>Ярославская область</t>
  </si>
  <si>
    <t>г. Москва</t>
  </si>
  <si>
    <t>г. Санкт-Петербург</t>
  </si>
  <si>
    <t>г. Севастополь</t>
  </si>
  <si>
    <t>Число наблюдений</t>
  </si>
  <si>
    <t>Нижняя.г</t>
  </si>
  <si>
    <t>Верхняя.г</t>
  </si>
  <si>
    <t>Середина</t>
  </si>
  <si>
    <t>Частота</t>
  </si>
  <si>
    <t>xMin</t>
  </si>
  <si>
    <t>xMax</t>
  </si>
  <si>
    <t>R</t>
  </si>
  <si>
    <t>n = 1 + ld(N)</t>
  </si>
  <si>
    <t>h = R/n</t>
  </si>
  <si>
    <t>Ход работы: 1) Отсортировали данные по возрастанию; 2) Определили минимальное и максимальное значение и размахс помощью функций; 3) Посчитали количесвто групп по формуле; 4) Построили все необходимые графики. Вывод: все этапы домашней работы были выполнены. В результате выполнения с помощью ящика с усами выделили выбросы и исключили их. Но в общей таблице оставили их для дальнейшего использования.</t>
  </si>
  <si>
    <t>Зарегистрировано преступлений в 2021 г.</t>
  </si>
  <si>
    <t>Медиана</t>
  </si>
  <si>
    <t>Мода</t>
  </si>
  <si>
    <t>Ср. Арифметическое</t>
  </si>
  <si>
    <t>Интервальный ряд</t>
  </si>
  <si>
    <t>данные непрерывные, значения индивидуальные, мода не определена</t>
  </si>
  <si>
    <t>Дискретный ряд</t>
  </si>
  <si>
    <t>Сумма xср.f</t>
  </si>
  <si>
    <t>xср.f</t>
  </si>
  <si>
    <t>Накопленная частота</t>
  </si>
  <si>
    <t>ДЗ №2</t>
  </si>
  <si>
    <t>ДЗ №3</t>
  </si>
  <si>
    <r>
      <rPr>
        <b/>
        <sz val="18"/>
        <color rgb="FF000000"/>
        <rFont val="Calibri"/>
        <family val="2"/>
        <charset val="204"/>
        <scheme val="minor"/>
      </rPr>
      <t>Вывод:</t>
    </r>
    <r>
      <rPr>
        <b/>
        <sz val="14"/>
        <color rgb="FF000000"/>
        <rFont val="Calibri"/>
        <family val="2"/>
        <charset val="204"/>
        <scheme val="minor"/>
      </rPr>
      <t xml:space="preserve">
Среднее арифметическое.
</t>
    </r>
    <r>
      <rPr>
        <sz val="10"/>
        <color rgb="FF000000"/>
        <rFont val="Calibri"/>
        <family val="2"/>
        <charset val="204"/>
        <scheme val="minor"/>
      </rPr>
      <t>Среднее арифметическое обоих рядов близко по значению, что говорит о схожести распределения данных в обоих типах рядов. Среднее количество зарегистрированных преступлений составляет 20263.12 для дискретных данных и 20453.21 для интервальных данных.</t>
    </r>
    <r>
      <rPr>
        <b/>
        <sz val="14"/>
        <color rgb="FF000000"/>
        <rFont val="Calibri"/>
        <family val="2"/>
        <charset val="204"/>
        <scheme val="minor"/>
      </rPr>
      <t xml:space="preserve">
Мода.
</t>
    </r>
    <r>
      <rPr>
        <sz val="11"/>
        <color rgb="FF000000"/>
        <rFont val="Calibri"/>
        <family val="2"/>
        <charset val="204"/>
        <scheme val="minor"/>
      </rPr>
      <t>В дискретном ряду значения индивидуальные, поэтому моду нельзя вывести. Для интервального ряда была найдена мода, равная 19216.86, что указывает на частое присутствие этого значения в выборке.</t>
    </r>
    <r>
      <rPr>
        <b/>
        <sz val="14"/>
        <color rgb="FF000000"/>
        <rFont val="Calibri"/>
        <family val="2"/>
        <charset val="204"/>
        <scheme val="minor"/>
      </rPr>
      <t xml:space="preserve">
Медиана.
</t>
    </r>
    <r>
      <rPr>
        <sz val="10"/>
        <color rgb="FF000000"/>
        <rFont val="Calibri"/>
        <family val="2"/>
        <charset val="204"/>
        <scheme val="minor"/>
      </rPr>
      <t>Медиана в дискретном ряду равна 14808.5, в то время как в интервальном ряду она составляет 13190.73. Это говорит о том, что половина регионов имеет меньше зарегистрированных преступлений, чем  14808.5 в дискретном ряду и 13190.73 в интервальном ряду.</t>
    </r>
  </si>
  <si>
    <t>ДЗ №4</t>
  </si>
  <si>
    <t>xi</t>
  </si>
  <si>
    <t>хi-хср</t>
  </si>
  <si>
    <t>|хi-хср|</t>
  </si>
  <si>
    <t>(хi-хср)2</t>
  </si>
  <si>
    <t>Ср. ар.</t>
  </si>
  <si>
    <t>Вспомогательные данные (исходный ряд)</t>
  </si>
  <si>
    <t>Вспомогательные данные (интервальный ряд)</t>
  </si>
  <si>
    <t>(xi-xср)2*fi</t>
  </si>
  <si>
    <t>|хi-хср|*fi</t>
  </si>
  <si>
    <r>
      <t>х</t>
    </r>
    <r>
      <rPr>
        <vertAlign val="subscript"/>
        <sz val="10"/>
        <color theme="1"/>
        <rFont val="Calibri"/>
        <family val="2"/>
        <charset val="204"/>
        <scheme val="major"/>
      </rPr>
      <t>i</t>
    </r>
    <r>
      <rPr>
        <sz val="10"/>
        <color theme="1"/>
        <rFont val="Calibri"/>
        <family val="2"/>
        <charset val="204"/>
        <scheme val="major"/>
      </rPr>
      <t>-х</t>
    </r>
    <r>
      <rPr>
        <vertAlign val="subscript"/>
        <sz val="10"/>
        <color theme="1"/>
        <rFont val="Calibri"/>
        <family val="2"/>
        <charset val="204"/>
        <scheme val="major"/>
      </rPr>
      <t>ср</t>
    </r>
  </si>
  <si>
    <r>
      <t>|х</t>
    </r>
    <r>
      <rPr>
        <vertAlign val="subscript"/>
        <sz val="10"/>
        <color theme="1"/>
        <rFont val="Calibri"/>
        <family val="2"/>
        <charset val="204"/>
        <scheme val="major"/>
      </rPr>
      <t>i</t>
    </r>
    <r>
      <rPr>
        <sz val="10"/>
        <color theme="1"/>
        <rFont val="Calibri"/>
        <family val="2"/>
        <charset val="204"/>
        <scheme val="major"/>
      </rPr>
      <t>-х</t>
    </r>
    <r>
      <rPr>
        <vertAlign val="subscript"/>
        <sz val="10"/>
        <color theme="1"/>
        <rFont val="Calibri"/>
        <family val="2"/>
        <charset val="204"/>
        <scheme val="major"/>
      </rPr>
      <t>ср</t>
    </r>
    <r>
      <rPr>
        <sz val="10"/>
        <color theme="1"/>
        <rFont val="Calibri"/>
        <family val="2"/>
        <charset val="204"/>
        <scheme val="major"/>
      </rPr>
      <t>|</t>
    </r>
  </si>
  <si>
    <r>
      <t>(x</t>
    </r>
    <r>
      <rPr>
        <vertAlign val="subscript"/>
        <sz val="10"/>
        <color theme="1"/>
        <rFont val="Calibri"/>
        <family val="2"/>
        <charset val="204"/>
        <scheme val="major"/>
      </rPr>
      <t>i</t>
    </r>
    <r>
      <rPr>
        <sz val="10"/>
        <color theme="1"/>
        <rFont val="Calibri"/>
        <family val="2"/>
        <charset val="204"/>
        <scheme val="major"/>
      </rPr>
      <t>-x</t>
    </r>
    <r>
      <rPr>
        <vertAlign val="subscript"/>
        <sz val="10"/>
        <color theme="1"/>
        <rFont val="Calibri"/>
        <family val="2"/>
        <charset val="204"/>
        <scheme val="major"/>
      </rPr>
      <t>ср</t>
    </r>
    <r>
      <rPr>
        <sz val="10"/>
        <color theme="1"/>
        <rFont val="Calibri"/>
        <family val="2"/>
        <charset val="204"/>
        <scheme val="major"/>
      </rPr>
      <t>)</t>
    </r>
    <r>
      <rPr>
        <vertAlign val="superscript"/>
        <sz val="10"/>
        <color theme="1"/>
        <rFont val="Calibri"/>
        <family val="2"/>
        <charset val="204"/>
        <scheme val="major"/>
      </rPr>
      <t>2</t>
    </r>
  </si>
  <si>
    <t>xср</t>
  </si>
  <si>
    <t>Результаты</t>
  </si>
  <si>
    <t>Показатели</t>
  </si>
  <si>
    <t>По ряду исходных данных</t>
  </si>
  <si>
    <t>Вручную</t>
  </si>
  <si>
    <t>Эксель</t>
  </si>
  <si>
    <t>По интервальному ряду</t>
  </si>
  <si>
    <t>Ср. арифметическое</t>
  </si>
  <si>
    <t>Коэфф. осцилляции (VR), %</t>
  </si>
  <si>
    <t>Коэфф. лин. вариации (Vd), %</t>
  </si>
  <si>
    <t>Коэфф вариации (V), %</t>
  </si>
  <si>
    <t>Дисперсия (S2)</t>
  </si>
  <si>
    <t>CKO (S)</t>
  </si>
  <si>
    <t>СЛО (d)</t>
  </si>
  <si>
    <t>Размах (R),</t>
  </si>
  <si>
    <t>Сравнение с эмперическими показателями</t>
  </si>
  <si>
    <t>Условие</t>
  </si>
  <si>
    <t>Выполение</t>
  </si>
  <si>
    <t>xср-3*S ≤ x ≤ xср+3*S</t>
  </si>
  <si>
    <t>S~R/6</t>
  </si>
  <si>
    <t>S~1,25*d</t>
  </si>
  <si>
    <t>V &lt; 33%</t>
  </si>
  <si>
    <t>ВЫВОД: В результате выполнения были получены показатели для интервального и вариационного ряда:
Среднее квадратичное отклонение — это корень из дисперсии, и оно представляет степень изменения значений относительно среднего.
Дисперсия показывает, насколько значения отклоняются от среднего. В данном случае, значение дисперсии указывает на однородность данных.
Сравнительное значение среднеквадратичного отклонения между двумя группами демонстрирует, где данные менее однородны и где наблюдается больший разброс.
Полученные данные дают понять, насколько степень изменения значений значительна. Они могут использоваться для анализа стабильности показателей.
Для данных с производственными показателями в регионе наблюдаются значения дисперсии и СКО, которые говорят о степени разброса данных. Чем выше эти показатели, тем больше вариативность значений. Правило трёх сигм выполняется, это означает, что данные скорее всего будут следовать нормальному распределению</t>
  </si>
  <si>
    <t>Номер</t>
  </si>
  <si>
    <t>n=</t>
  </si>
  <si>
    <t>Для дисперсного ряда</t>
  </si>
  <si>
    <t>Xср=</t>
  </si>
  <si>
    <t>X</t>
  </si>
  <si>
    <t>X - Xср</t>
  </si>
  <si>
    <t>(X - Xср)^2</t>
  </si>
  <si>
    <t>|X - Xср|</t>
  </si>
  <si>
    <t>S^2=</t>
  </si>
  <si>
    <t>s=</t>
  </si>
  <si>
    <t>d=</t>
  </si>
  <si>
    <t>R=</t>
  </si>
  <si>
    <t>Vr=</t>
  </si>
  <si>
    <t>V=</t>
  </si>
  <si>
    <t>Vd=</t>
  </si>
  <si>
    <t>Для интервального ряда</t>
  </si>
  <si>
    <t>(X-Xср)^2</t>
  </si>
  <si>
    <t>(X - Xср)^2*mi</t>
  </si>
  <si>
    <t>|X - Xср|*mi</t>
  </si>
  <si>
    <t>Эмперические оценки</t>
  </si>
  <si>
    <t>Критерий 1</t>
  </si>
  <si>
    <t>S=</t>
  </si>
  <si>
    <t>R/6=</t>
  </si>
  <si>
    <t xml:space="preserve"> Невыполняется</t>
  </si>
  <si>
    <t>Критерий 2</t>
  </si>
  <si>
    <t>1,25d=</t>
  </si>
  <si>
    <t>Выполняется</t>
  </si>
  <si>
    <t>Критерий 3</t>
  </si>
  <si>
    <t>-3S=</t>
  </si>
  <si>
    <t>3S=</t>
  </si>
  <si>
    <t>-</t>
  </si>
  <si>
    <t>Исходные данные</t>
  </si>
  <si>
    <t>Эмпирические соотношения</t>
  </si>
  <si>
    <t>Итог</t>
  </si>
  <si>
    <t>Ср. арифм. (Xср)</t>
  </si>
  <si>
    <t>-3S &lt; Xср &lt; 3S - не выполняется</t>
  </si>
  <si>
    <t>Дисперсия (S^2)</t>
  </si>
  <si>
    <t>S~1.25d - выполняется</t>
  </si>
  <si>
    <t xml:space="preserve">CKO (S)
</t>
  </si>
  <si>
    <t>S~R/6 - выполняется</t>
  </si>
  <si>
    <t xml:space="preserve">СЛО (d)
</t>
  </si>
  <si>
    <t xml:space="preserve">Размах(R)
</t>
  </si>
  <si>
    <t xml:space="preserve">К-т осцилляции (VR)
</t>
  </si>
  <si>
    <t>К-т лин. вариации (Vd)</t>
  </si>
  <si>
    <t>К-т вариации (V)</t>
  </si>
  <si>
    <t>Высокий коэффиуент коррелияции - сильные колебания</t>
  </si>
  <si>
    <t>Показатели интервальных данных выше, тк брали среднее интервала</t>
  </si>
  <si>
    <t>Соблюдено только 2/3 критериев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</si>
</sst>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_-;\-* #,##0_-;_-* &quot;-&quot;??_-;_-@"/>
    <numFmt numFmtId="165" formatCode="_-* #,##0.00_-;\-* #,##0.00_-;_-* &quot;-&quot;??_-;_-@"/>
    <numFmt numFmtId="166" formatCode="_-* #,##0.000_-;\-* #,##0.000_-;_-* &quot;-&quot;??_-;_-@"/>
    <numFmt numFmtId="167" formatCode="_-* #,##0.0000_-;\-* #,##0.0000_-;_-* &quot;-&quot;??_-;_-@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48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8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ajor"/>
    </font>
    <font>
      <vertAlign val="subscript"/>
      <sz val="10"/>
      <color theme="1"/>
      <name val="Calibri"/>
      <family val="2"/>
      <charset val="204"/>
      <scheme val="major"/>
    </font>
    <font>
      <vertAlign val="superscript"/>
      <sz val="10"/>
      <color theme="1"/>
      <name val="Calibri"/>
      <family val="2"/>
      <charset val="204"/>
      <scheme val="major"/>
    </font>
    <font>
      <sz val="16"/>
      <color rgb="FF92D050"/>
      <name val="Calibri"/>
      <family val="2"/>
      <charset val="204"/>
      <scheme val="minor"/>
    </font>
    <font>
      <sz val="7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4"/>
      <color rgb="FFFF000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rgb="FFEA999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02">
    <xf numFmtId="0" fontId="0" fillId="0" borderId="0" xfId="0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/>
    <xf numFmtId="1" fontId="4" fillId="0" borderId="4" xfId="0" applyNumberFormat="1" applyFont="1" applyBorder="1"/>
    <xf numFmtId="0" fontId="4" fillId="0" borderId="0" xfId="0" applyFont="1" applyAlignment="1">
      <alignment horizontal="center" vertical="center"/>
    </xf>
    <xf numFmtId="0" fontId="3" fillId="0" borderId="16" xfId="1" applyBorder="1" applyAlignment="1">
      <alignment horizontal="center"/>
    </xf>
    <xf numFmtId="0" fontId="3" fillId="0" borderId="17" xfId="1" applyBorder="1" applyAlignment="1">
      <alignment horizontal="center"/>
    </xf>
    <xf numFmtId="0" fontId="3" fillId="0" borderId="18" xfId="1" applyBorder="1" applyAlignment="1">
      <alignment horizontal="center"/>
    </xf>
    <xf numFmtId="0" fontId="3" fillId="0" borderId="19" xfId="1" applyBorder="1"/>
    <xf numFmtId="0" fontId="8" fillId="0" borderId="20" xfId="1" applyFont="1" applyBorder="1"/>
    <xf numFmtId="0" fontId="8" fillId="0" borderId="17" xfId="1" applyFont="1" applyBorder="1"/>
    <xf numFmtId="2" fontId="3" fillId="0" borderId="15" xfId="1" applyNumberFormat="1" applyBorder="1"/>
    <xf numFmtId="2" fontId="3" fillId="0" borderId="13" xfId="1" applyNumberFormat="1" applyBorder="1"/>
    <xf numFmtId="0" fontId="3" fillId="0" borderId="15" xfId="1" applyBorder="1" applyAlignment="1">
      <alignment vertical="center" wrapText="1"/>
    </xf>
    <xf numFmtId="0" fontId="4" fillId="2" borderId="4" xfId="0" applyFont="1" applyFill="1" applyBorder="1"/>
    <xf numFmtId="2" fontId="4" fillId="0" borderId="4" xfId="0" applyNumberFormat="1" applyFont="1" applyBorder="1"/>
    <xf numFmtId="2" fontId="3" fillId="0" borderId="24" xfId="1" applyNumberFormat="1" applyBorder="1"/>
    <xf numFmtId="0" fontId="0" fillId="0" borderId="0" xfId="0"/>
    <xf numFmtId="0" fontId="2" fillId="0" borderId="0" xfId="0" applyFont="1"/>
    <xf numFmtId="0" fontId="2" fillId="6" borderId="13" xfId="0" applyFont="1" applyFill="1" applyBorder="1"/>
    <xf numFmtId="0" fontId="4" fillId="0" borderId="14" xfId="0" applyFont="1" applyBorder="1" applyAlignment="1">
      <alignment horizontal="center" vertical="center"/>
    </xf>
    <xf numFmtId="0" fontId="0" fillId="0" borderId="27" xfId="0" applyBorder="1"/>
    <xf numFmtId="0" fontId="4" fillId="0" borderId="22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wrapText="1"/>
    </xf>
    <xf numFmtId="0" fontId="15" fillId="4" borderId="27" xfId="0" applyFont="1" applyFill="1" applyBorder="1" applyAlignment="1">
      <alignment horizontal="center" wrapText="1"/>
    </xf>
    <xf numFmtId="0" fontId="15" fillId="8" borderId="13" xfId="0" applyFont="1" applyFill="1" applyBorder="1" applyAlignment="1">
      <alignment horizontal="center"/>
    </xf>
    <xf numFmtId="2" fontId="0" fillId="0" borderId="13" xfId="0" applyNumberFormat="1" applyBorder="1"/>
    <xf numFmtId="0" fontId="15" fillId="8" borderId="14" xfId="0" applyFont="1" applyFill="1" applyBorder="1" applyAlignment="1">
      <alignment horizontal="center"/>
    </xf>
    <xf numFmtId="0" fontId="15" fillId="8" borderId="27" xfId="0" applyFont="1" applyFill="1" applyBorder="1" applyAlignment="1">
      <alignment horizontal="center"/>
    </xf>
    <xf numFmtId="2" fontId="0" fillId="0" borderId="14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0" xfId="0" applyAlignment="1">
      <alignment vertical="center"/>
    </xf>
    <xf numFmtId="0" fontId="2" fillId="0" borderId="13" xfId="0" applyFont="1" applyBorder="1"/>
    <xf numFmtId="2" fontId="2" fillId="0" borderId="13" xfId="0" applyNumberFormat="1" applyFont="1" applyBorder="1"/>
    <xf numFmtId="0" fontId="2" fillId="0" borderId="14" xfId="0" applyFont="1" applyBorder="1"/>
    <xf numFmtId="0" fontId="15" fillId="0" borderId="14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4" fillId="0" borderId="14" xfId="0" applyFont="1" applyBorder="1" applyAlignment="1">
      <alignment horizontal="center" wrapText="1"/>
    </xf>
    <xf numFmtId="0" fontId="19" fillId="0" borderId="27" xfId="0" applyFont="1" applyBorder="1"/>
    <xf numFmtId="0" fontId="14" fillId="0" borderId="22" xfId="0" applyFont="1" applyBorder="1" applyAlignment="1">
      <alignment horizontal="center" wrapText="1"/>
    </xf>
    <xf numFmtId="0" fontId="19" fillId="0" borderId="29" xfId="0" applyFont="1" applyBorder="1"/>
    <xf numFmtId="0" fontId="2" fillId="10" borderId="14" xfId="0" applyFont="1" applyFill="1" applyBorder="1"/>
    <xf numFmtId="0" fontId="2" fillId="10" borderId="27" xfId="0" applyFont="1" applyFill="1" applyBorder="1"/>
    <xf numFmtId="0" fontId="0" fillId="0" borderId="0" xfId="0"/>
    <xf numFmtId="2" fontId="0" fillId="6" borderId="13" xfId="0" applyNumberFormat="1" applyFill="1" applyBorder="1"/>
    <xf numFmtId="0" fontId="0" fillId="0" borderId="0" xfId="0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4" fillId="0" borderId="32" xfId="0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Font="1" applyAlignment="1"/>
    <xf numFmtId="0" fontId="20" fillId="0" borderId="3" xfId="0" applyFont="1" applyBorder="1" applyAlignment="1">
      <alignment horizontal="center" vertical="center"/>
    </xf>
    <xf numFmtId="0" fontId="20" fillId="0" borderId="33" xfId="0" applyFont="1" applyBorder="1" applyAlignment="1">
      <alignment horizontal="right" vertical="center"/>
    </xf>
    <xf numFmtId="0" fontId="20" fillId="0" borderId="34" xfId="0" applyFont="1" applyBorder="1" applyAlignment="1">
      <alignment horizontal="left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right"/>
    </xf>
    <xf numFmtId="2" fontId="20" fillId="0" borderId="34" xfId="0" applyNumberFormat="1" applyFont="1" applyBorder="1" applyAlignment="1">
      <alignment horizontal="left"/>
    </xf>
    <xf numFmtId="0" fontId="20" fillId="0" borderId="30" xfId="0" applyFont="1" applyBorder="1"/>
    <xf numFmtId="2" fontId="20" fillId="0" borderId="34" xfId="0" applyNumberFormat="1" applyFont="1" applyBorder="1"/>
    <xf numFmtId="0" fontId="20" fillId="0" borderId="10" xfId="0" applyFont="1" applyBorder="1"/>
    <xf numFmtId="0" fontId="20" fillId="0" borderId="35" xfId="0" applyFont="1" applyBorder="1"/>
    <xf numFmtId="0" fontId="20" fillId="0" borderId="11" xfId="0" applyFont="1" applyBorder="1"/>
    <xf numFmtId="0" fontId="20" fillId="0" borderId="36" xfId="0" applyFont="1" applyBorder="1"/>
    <xf numFmtId="0" fontId="20" fillId="0" borderId="33" xfId="0" applyFont="1" applyBorder="1"/>
    <xf numFmtId="2" fontId="20" fillId="0" borderId="6" xfId="0" applyNumberFormat="1" applyFont="1" applyBorder="1"/>
    <xf numFmtId="2" fontId="20" fillId="0" borderId="39" xfId="0" applyNumberFormat="1" applyFont="1" applyBorder="1"/>
    <xf numFmtId="2" fontId="20" fillId="0" borderId="40" xfId="0" applyNumberFormat="1" applyFont="1" applyBorder="1"/>
    <xf numFmtId="0" fontId="20" fillId="0" borderId="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41" xfId="0" applyFont="1" applyBorder="1"/>
    <xf numFmtId="2" fontId="20" fillId="0" borderId="4" xfId="0" applyNumberFormat="1" applyFont="1" applyBorder="1"/>
    <xf numFmtId="0" fontId="20" fillId="0" borderId="6" xfId="0" applyFont="1" applyBorder="1" applyAlignment="1">
      <alignment wrapText="1"/>
    </xf>
    <xf numFmtId="0" fontId="20" fillId="0" borderId="37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/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/>
    <xf numFmtId="0" fontId="20" fillId="0" borderId="31" xfId="0" applyFont="1" applyBorder="1"/>
    <xf numFmtId="0" fontId="20" fillId="0" borderId="42" xfId="0" applyFont="1" applyBorder="1" applyAlignment="1">
      <alignment horizontal="center"/>
    </xf>
    <xf numFmtId="0" fontId="4" fillId="0" borderId="43" xfId="0" applyFont="1" applyBorder="1"/>
    <xf numFmtId="0" fontId="0" fillId="0" borderId="0" xfId="0" applyFont="1" applyBorder="1" applyAlignment="1"/>
    <xf numFmtId="0" fontId="20" fillId="0" borderId="0" xfId="0" applyFont="1" applyBorder="1"/>
    <xf numFmtId="2" fontId="20" fillId="0" borderId="44" xfId="0" applyNumberFormat="1" applyFont="1" applyBorder="1"/>
    <xf numFmtId="0" fontId="20" fillId="0" borderId="44" xfId="0" applyFont="1" applyBorder="1"/>
    <xf numFmtId="0" fontId="20" fillId="0" borderId="40" xfId="0" applyFont="1" applyBorder="1"/>
    <xf numFmtId="2" fontId="20" fillId="0" borderId="37" xfId="0" applyNumberFormat="1" applyFont="1" applyBorder="1"/>
    <xf numFmtId="0" fontId="20" fillId="0" borderId="4" xfId="0" applyFont="1" applyBorder="1" applyAlignment="1">
      <alignment horizontal="right"/>
    </xf>
    <xf numFmtId="10" fontId="20" fillId="0" borderId="4" xfId="0" applyNumberFormat="1" applyFont="1" applyBorder="1"/>
    <xf numFmtId="0" fontId="20" fillId="0" borderId="45" xfId="0" applyFont="1" applyBorder="1"/>
    <xf numFmtId="0" fontId="21" fillId="0" borderId="0" xfId="0" applyFont="1" applyAlignment="1">
      <alignment wrapText="1"/>
    </xf>
    <xf numFmtId="2" fontId="24" fillId="0" borderId="34" xfId="0" applyNumberFormat="1" applyFont="1" applyBorder="1" applyAlignment="1">
      <alignment horizontal="left"/>
    </xf>
    <xf numFmtId="0" fontId="24" fillId="0" borderId="0" xfId="0" applyFont="1" applyAlignment="1"/>
    <xf numFmtId="2" fontId="20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vertical="center"/>
    </xf>
    <xf numFmtId="0" fontId="24" fillId="0" borderId="0" xfId="0" applyFont="1"/>
    <xf numFmtId="49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2" fontId="24" fillId="0" borderId="0" xfId="0" applyNumberFormat="1" applyFont="1" applyAlignment="1">
      <alignment horizontal="left"/>
    </xf>
    <xf numFmtId="0" fontId="20" fillId="11" borderId="46" xfId="0" quotePrefix="1" applyFont="1" applyFill="1" applyBorder="1"/>
    <xf numFmtId="0" fontId="20" fillId="11" borderId="6" xfId="0" applyFont="1" applyFill="1" applyBorder="1" applyAlignment="1">
      <alignment horizontal="center" vertical="center" wrapText="1"/>
    </xf>
    <xf numFmtId="0" fontId="20" fillId="11" borderId="39" xfId="0" applyFont="1" applyFill="1" applyBorder="1" applyAlignment="1">
      <alignment horizontal="center" vertical="center" wrapText="1"/>
    </xf>
    <xf numFmtId="0" fontId="20" fillId="11" borderId="47" xfId="0" applyFont="1" applyFill="1" applyBorder="1" applyAlignment="1">
      <alignment horizontal="center" vertical="center" wrapText="1"/>
    </xf>
    <xf numFmtId="0" fontId="21" fillId="0" borderId="0" xfId="0" applyFont="1"/>
    <xf numFmtId="0" fontId="25" fillId="12" borderId="0" xfId="0" applyFont="1" applyFill="1" applyBorder="1" applyAlignment="1">
      <alignment horizontal="left" vertical="center" wrapText="1" readingOrder="1"/>
    </xf>
    <xf numFmtId="164" fontId="20" fillId="12" borderId="4" xfId="0" applyNumberFormat="1" applyFont="1" applyFill="1" applyBorder="1"/>
    <xf numFmtId="164" fontId="20" fillId="12" borderId="40" xfId="0" applyNumberFormat="1" applyFont="1" applyFill="1" applyBorder="1"/>
    <xf numFmtId="0" fontId="20" fillId="12" borderId="39" xfId="0" quotePrefix="1" applyFont="1" applyFill="1" applyBorder="1"/>
    <xf numFmtId="0" fontId="20" fillId="12" borderId="34" xfId="0" applyFont="1" applyFill="1" applyBorder="1" applyAlignment="1">
      <alignment wrapText="1"/>
    </xf>
    <xf numFmtId="165" fontId="20" fillId="12" borderId="4" xfId="0" applyNumberFormat="1" applyFont="1" applyFill="1" applyBorder="1"/>
    <xf numFmtId="0" fontId="20" fillId="12" borderId="40" xfId="0" applyFont="1" applyFill="1" applyBorder="1"/>
    <xf numFmtId="166" fontId="20" fillId="12" borderId="4" xfId="0" applyNumberFormat="1" applyFont="1" applyFill="1" applyBorder="1"/>
    <xf numFmtId="165" fontId="20" fillId="12" borderId="40" xfId="0" applyNumberFormat="1" applyFont="1" applyFill="1" applyBorder="1"/>
    <xf numFmtId="167" fontId="20" fillId="12" borderId="4" xfId="0" applyNumberFormat="1" applyFont="1" applyFill="1" applyBorder="1"/>
    <xf numFmtId="9" fontId="20" fillId="12" borderId="4" xfId="0" applyNumberFormat="1" applyFont="1" applyFill="1" applyBorder="1"/>
    <xf numFmtId="9" fontId="20" fillId="12" borderId="40" xfId="0" applyNumberFormat="1" applyFont="1" applyFill="1" applyBorder="1"/>
    <xf numFmtId="0" fontId="20" fillId="12" borderId="48" xfId="0" applyFont="1" applyFill="1" applyBorder="1" applyAlignment="1">
      <alignment wrapText="1"/>
    </xf>
    <xf numFmtId="9" fontId="20" fillId="12" borderId="44" xfId="0" applyNumberFormat="1" applyFont="1" applyFill="1" applyBorder="1"/>
    <xf numFmtId="9" fontId="20" fillId="12" borderId="49" xfId="0" applyNumberFormat="1" applyFont="1" applyFill="1" applyBorder="1"/>
    <xf numFmtId="0" fontId="20" fillId="12" borderId="49" xfId="0" applyFont="1" applyFill="1" applyBorder="1"/>
    <xf numFmtId="0" fontId="20" fillId="0" borderId="0" xfId="0" applyFont="1" applyAlignment="1">
      <alignment wrapText="1"/>
    </xf>
    <xf numFmtId="0" fontId="20" fillId="0" borderId="34" xfId="0" applyNumberFormat="1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  <xf numFmtId="0" fontId="4" fillId="0" borderId="29" xfId="0" applyFont="1" applyBorder="1"/>
    <xf numFmtId="0" fontId="4" fillId="0" borderId="46" xfId="0" applyFont="1" applyBorder="1"/>
    <xf numFmtId="0" fontId="4" fillId="0" borderId="34" xfId="0" applyFont="1" applyBorder="1"/>
    <xf numFmtId="0" fontId="4" fillId="0" borderId="54" xfId="0" applyFont="1" applyBorder="1" applyAlignment="1">
      <alignment horizontal="center" wrapText="1"/>
    </xf>
    <xf numFmtId="0" fontId="4" fillId="0" borderId="5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56" xfId="0" applyFont="1" applyBorder="1"/>
    <xf numFmtId="0" fontId="4" fillId="0" borderId="57" xfId="0" applyFont="1" applyBorder="1"/>
    <xf numFmtId="0" fontId="0" fillId="0" borderId="22" xfId="0" applyBorder="1" applyAlignment="1">
      <alignment horizontal="center"/>
    </xf>
    <xf numFmtId="0" fontId="4" fillId="0" borderId="58" xfId="0" applyFont="1" applyBorder="1"/>
    <xf numFmtId="0" fontId="4" fillId="0" borderId="59" xfId="0" applyFont="1" applyBorder="1"/>
    <xf numFmtId="0" fontId="0" fillId="0" borderId="60" xfId="0" applyBorder="1" applyAlignment="1">
      <alignment horizontal="center"/>
    </xf>
    <xf numFmtId="0" fontId="4" fillId="0" borderId="61" xfId="0" applyFont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2" xfId="0" applyFont="1" applyBorder="1"/>
    <xf numFmtId="0" fontId="4" fillId="0" borderId="0" xfId="0" applyFont="1" applyAlignment="1">
      <alignment horizontal="center"/>
    </xf>
    <xf numFmtId="0" fontId="0" fillId="0" borderId="0" xfId="0"/>
    <xf numFmtId="1" fontId="4" fillId="0" borderId="0" xfId="0" applyNumberFormat="1" applyFont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5" fillId="0" borderId="63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/>
    </xf>
    <xf numFmtId="0" fontId="23" fillId="0" borderId="38" xfId="0" applyFont="1" applyBorder="1"/>
    <xf numFmtId="0" fontId="23" fillId="0" borderId="12" xfId="0" applyFont="1" applyBorder="1"/>
    <xf numFmtId="2" fontId="0" fillId="0" borderId="1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8" fillId="9" borderId="23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21" xfId="1" applyBorder="1" applyAlignment="1">
      <alignment horizontal="center"/>
    </xf>
    <xf numFmtId="0" fontId="3" fillId="0" borderId="20" xfId="1" applyBorder="1" applyAlignment="1">
      <alignment horizontal="center"/>
    </xf>
    <xf numFmtId="0" fontId="3" fillId="0" borderId="19" xfId="1" applyBorder="1" applyAlignment="1">
      <alignment horizontal="center"/>
    </xf>
    <xf numFmtId="0" fontId="10" fillId="0" borderId="13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EE68504D-052C-47FF-AB8D-7C0BE83C5C9D}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Иванов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2021 г.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'Показатели преступности России'!$A$4:$A$88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'Показатели преступности России'!$D$4:$D$88</c:f>
              <c:numCache>
                <c:formatCode>General</c:formatCode>
                <c:ptCount val="85"/>
                <c:pt idx="0">
                  <c:v>39070</c:v>
                </c:pt>
                <c:pt idx="1">
                  <c:v>18231</c:v>
                </c:pt>
                <c:pt idx="2">
                  <c:v>16996</c:v>
                </c:pt>
                <c:pt idx="3">
                  <c:v>13801</c:v>
                </c:pt>
                <c:pt idx="4">
                  <c:v>14067</c:v>
                </c:pt>
                <c:pt idx="5">
                  <c:v>14202</c:v>
                </c:pt>
                <c:pt idx="6">
                  <c:v>16248</c:v>
                </c:pt>
                <c:pt idx="7">
                  <c:v>37910</c:v>
                </c:pt>
                <c:pt idx="8">
                  <c:v>17775</c:v>
                </c:pt>
                <c:pt idx="9">
                  <c:v>29552</c:v>
                </c:pt>
                <c:pt idx="10">
                  <c:v>3323</c:v>
                </c:pt>
                <c:pt idx="11">
                  <c:v>21707</c:v>
                </c:pt>
                <c:pt idx="12">
                  <c:v>12064</c:v>
                </c:pt>
                <c:pt idx="13">
                  <c:v>39363</c:v>
                </c:pt>
                <c:pt idx="14">
                  <c:v>7557</c:v>
                </c:pt>
                <c:pt idx="15">
                  <c:v>13269</c:v>
                </c:pt>
                <c:pt idx="16">
                  <c:v>15961</c:v>
                </c:pt>
                <c:pt idx="17">
                  <c:v>5909</c:v>
                </c:pt>
                <c:pt idx="18">
                  <c:v>4345</c:v>
                </c:pt>
                <c:pt idx="19">
                  <c:v>50465</c:v>
                </c:pt>
                <c:pt idx="20">
                  <c:v>19034</c:v>
                </c:pt>
                <c:pt idx="21">
                  <c:v>8927</c:v>
                </c:pt>
                <c:pt idx="22">
                  <c:v>78183</c:v>
                </c:pt>
                <c:pt idx="23">
                  <c:v>47027</c:v>
                </c:pt>
                <c:pt idx="24">
                  <c:v>14765</c:v>
                </c:pt>
                <c:pt idx="25">
                  <c:v>13538</c:v>
                </c:pt>
                <c:pt idx="26">
                  <c:v>27092</c:v>
                </c:pt>
                <c:pt idx="27">
                  <c:v>13073</c:v>
                </c:pt>
                <c:pt idx="28">
                  <c:v>2562</c:v>
                </c:pt>
                <c:pt idx="29">
                  <c:v>73780</c:v>
                </c:pt>
                <c:pt idx="30">
                  <c:v>12096</c:v>
                </c:pt>
                <c:pt idx="31">
                  <c:v>852</c:v>
                </c:pt>
                <c:pt idx="32">
                  <c:v>40530</c:v>
                </c:pt>
                <c:pt idx="33">
                  <c:v>10630</c:v>
                </c:pt>
                <c:pt idx="34">
                  <c:v>46463</c:v>
                </c:pt>
                <c:pt idx="35">
                  <c:v>23825</c:v>
                </c:pt>
                <c:pt idx="36">
                  <c:v>24989</c:v>
                </c:pt>
                <c:pt idx="37">
                  <c:v>8151</c:v>
                </c:pt>
                <c:pt idx="38">
                  <c:v>13470</c:v>
                </c:pt>
                <c:pt idx="39">
                  <c:v>40594</c:v>
                </c:pt>
                <c:pt idx="40">
                  <c:v>35098</c:v>
                </c:pt>
                <c:pt idx="41">
                  <c:v>8377</c:v>
                </c:pt>
                <c:pt idx="42">
                  <c:v>4496</c:v>
                </c:pt>
                <c:pt idx="43">
                  <c:v>4762</c:v>
                </c:pt>
                <c:pt idx="44">
                  <c:v>52437</c:v>
                </c:pt>
                <c:pt idx="45">
                  <c:v>20770</c:v>
                </c:pt>
                <c:pt idx="46">
                  <c:v>14852</c:v>
                </c:pt>
                <c:pt idx="47">
                  <c:v>2103</c:v>
                </c:pt>
                <c:pt idx="48">
                  <c:v>2940</c:v>
                </c:pt>
                <c:pt idx="49">
                  <c:v>13670</c:v>
                </c:pt>
                <c:pt idx="50">
                  <c:v>15026</c:v>
                </c:pt>
                <c:pt idx="51">
                  <c:v>20727</c:v>
                </c:pt>
                <c:pt idx="52">
                  <c:v>7656</c:v>
                </c:pt>
                <c:pt idx="53">
                  <c:v>8533</c:v>
                </c:pt>
                <c:pt idx="54">
                  <c:v>13005</c:v>
                </c:pt>
                <c:pt idx="55">
                  <c:v>8152</c:v>
                </c:pt>
                <c:pt idx="56">
                  <c:v>51933</c:v>
                </c:pt>
                <c:pt idx="57">
                  <c:v>8483</c:v>
                </c:pt>
                <c:pt idx="58">
                  <c:v>11024</c:v>
                </c:pt>
                <c:pt idx="59">
                  <c:v>58538</c:v>
                </c:pt>
                <c:pt idx="60">
                  <c:v>9151</c:v>
                </c:pt>
                <c:pt idx="61">
                  <c:v>43280</c:v>
                </c:pt>
                <c:pt idx="62">
                  <c:v>29831</c:v>
                </c:pt>
                <c:pt idx="63">
                  <c:v>8876</c:v>
                </c:pt>
                <c:pt idx="64">
                  <c:v>54484</c:v>
                </c:pt>
                <c:pt idx="65">
                  <c:v>14013</c:v>
                </c:pt>
                <c:pt idx="66">
                  <c:v>34008</c:v>
                </c:pt>
                <c:pt idx="67">
                  <c:v>13537</c:v>
                </c:pt>
                <c:pt idx="68">
                  <c:v>20583</c:v>
                </c:pt>
                <c:pt idx="69">
                  <c:v>16813</c:v>
                </c:pt>
                <c:pt idx="70">
                  <c:v>15554</c:v>
                </c:pt>
                <c:pt idx="71">
                  <c:v>24160</c:v>
                </c:pt>
                <c:pt idx="72">
                  <c:v>26524</c:v>
                </c:pt>
                <c:pt idx="73">
                  <c:v>12276</c:v>
                </c:pt>
                <c:pt idx="74">
                  <c:v>21987</c:v>
                </c:pt>
                <c:pt idx="75">
                  <c:v>20788</c:v>
                </c:pt>
                <c:pt idx="76">
                  <c:v>65299</c:v>
                </c:pt>
                <c:pt idx="77">
                  <c:v>3128</c:v>
                </c:pt>
                <c:pt idx="78">
                  <c:v>12567</c:v>
                </c:pt>
                <c:pt idx="79">
                  <c:v>784</c:v>
                </c:pt>
                <c:pt idx="80">
                  <c:v>6961</c:v>
                </c:pt>
                <c:pt idx="81">
                  <c:v>16066</c:v>
                </c:pt>
                <c:pt idx="82">
                  <c:v>143564</c:v>
                </c:pt>
                <c:pt idx="83">
                  <c:v>62755</c:v>
                </c:pt>
                <c:pt idx="84">
                  <c:v>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B7-4183-AFF7-4AD65E346BDC}"/>
            </c:ext>
          </c:extLst>
        </c:ser>
        <c:ser>
          <c:idx val="1"/>
          <c:order val="1"/>
          <c:tx>
            <c:v>2020 г.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'Показатели преступности России'!$A$4:$A$88</c:f>
              <c:numCache>
                <c:formatCode>General</c:formatCode>
                <c:ptCount val="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</c:numCache>
            </c:numRef>
          </c:xVal>
          <c:yVal>
            <c:numRef>
              <c:f>'Показатели преступности России'!$C$4:$C$88</c:f>
              <c:numCache>
                <c:formatCode>General</c:formatCode>
                <c:ptCount val="85"/>
                <c:pt idx="0">
                  <c:v>39029</c:v>
                </c:pt>
                <c:pt idx="1">
                  <c:v>18422</c:v>
                </c:pt>
                <c:pt idx="2">
                  <c:v>19074</c:v>
                </c:pt>
                <c:pt idx="3">
                  <c:v>14059</c:v>
                </c:pt>
                <c:pt idx="4">
                  <c:v>14341</c:v>
                </c:pt>
                <c:pt idx="5">
                  <c:v>15178</c:v>
                </c:pt>
                <c:pt idx="6">
                  <c:v>17371</c:v>
                </c:pt>
                <c:pt idx="7">
                  <c:v>38687</c:v>
                </c:pt>
                <c:pt idx="8">
                  <c:v>17314</c:v>
                </c:pt>
                <c:pt idx="9">
                  <c:v>29530</c:v>
                </c:pt>
                <c:pt idx="10">
                  <c:v>3693</c:v>
                </c:pt>
                <c:pt idx="11">
                  <c:v>22703</c:v>
                </c:pt>
                <c:pt idx="12">
                  <c:v>13752</c:v>
                </c:pt>
                <c:pt idx="13">
                  <c:v>42174</c:v>
                </c:pt>
                <c:pt idx="14">
                  <c:v>7423</c:v>
                </c:pt>
                <c:pt idx="15">
                  <c:v>13573</c:v>
                </c:pt>
                <c:pt idx="16">
                  <c:v>17209</c:v>
                </c:pt>
                <c:pt idx="17">
                  <c:v>5884</c:v>
                </c:pt>
                <c:pt idx="18">
                  <c:v>4667</c:v>
                </c:pt>
                <c:pt idx="19">
                  <c:v>51730</c:v>
                </c:pt>
                <c:pt idx="20">
                  <c:v>18921</c:v>
                </c:pt>
                <c:pt idx="21">
                  <c:v>9114</c:v>
                </c:pt>
                <c:pt idx="22">
                  <c:v>73519</c:v>
                </c:pt>
                <c:pt idx="23">
                  <c:v>48152</c:v>
                </c:pt>
                <c:pt idx="24">
                  <c:v>15656</c:v>
                </c:pt>
                <c:pt idx="25">
                  <c:v>13903</c:v>
                </c:pt>
                <c:pt idx="26">
                  <c:v>27427</c:v>
                </c:pt>
                <c:pt idx="27">
                  <c:v>13234</c:v>
                </c:pt>
                <c:pt idx="28">
                  <c:v>2649</c:v>
                </c:pt>
                <c:pt idx="29">
                  <c:v>73941</c:v>
                </c:pt>
                <c:pt idx="30">
                  <c:v>12228</c:v>
                </c:pt>
                <c:pt idx="31">
                  <c:v>732</c:v>
                </c:pt>
                <c:pt idx="32">
                  <c:v>42337</c:v>
                </c:pt>
                <c:pt idx="33">
                  <c:v>11318</c:v>
                </c:pt>
                <c:pt idx="34">
                  <c:v>54013</c:v>
                </c:pt>
                <c:pt idx="35">
                  <c:v>24493</c:v>
                </c:pt>
                <c:pt idx="36">
                  <c:v>27483</c:v>
                </c:pt>
                <c:pt idx="37">
                  <c:v>8555</c:v>
                </c:pt>
                <c:pt idx="38">
                  <c:v>13520</c:v>
                </c:pt>
                <c:pt idx="39">
                  <c:v>39694</c:v>
                </c:pt>
                <c:pt idx="40">
                  <c:v>32336</c:v>
                </c:pt>
                <c:pt idx="41">
                  <c:v>9031</c:v>
                </c:pt>
                <c:pt idx="42">
                  <c:v>4123</c:v>
                </c:pt>
                <c:pt idx="43">
                  <c:v>4761</c:v>
                </c:pt>
                <c:pt idx="44">
                  <c:v>55883</c:v>
                </c:pt>
                <c:pt idx="45">
                  <c:v>20639</c:v>
                </c:pt>
                <c:pt idx="46">
                  <c:v>14143</c:v>
                </c:pt>
                <c:pt idx="47">
                  <c:v>1909</c:v>
                </c:pt>
                <c:pt idx="48">
                  <c:v>2867</c:v>
                </c:pt>
                <c:pt idx="49">
                  <c:v>13449</c:v>
                </c:pt>
                <c:pt idx="50">
                  <c:v>17204</c:v>
                </c:pt>
                <c:pt idx="51">
                  <c:v>21682</c:v>
                </c:pt>
                <c:pt idx="52">
                  <c:v>7597</c:v>
                </c:pt>
                <c:pt idx="53">
                  <c:v>8258</c:v>
                </c:pt>
                <c:pt idx="54">
                  <c:v>12146</c:v>
                </c:pt>
                <c:pt idx="55">
                  <c:v>8075</c:v>
                </c:pt>
                <c:pt idx="56">
                  <c:v>53856</c:v>
                </c:pt>
                <c:pt idx="57">
                  <c:v>8546</c:v>
                </c:pt>
                <c:pt idx="58">
                  <c:v>10839</c:v>
                </c:pt>
                <c:pt idx="59">
                  <c:v>61753</c:v>
                </c:pt>
                <c:pt idx="60">
                  <c:v>10023</c:v>
                </c:pt>
                <c:pt idx="61">
                  <c:v>44332</c:v>
                </c:pt>
                <c:pt idx="62">
                  <c:v>30563</c:v>
                </c:pt>
                <c:pt idx="63">
                  <c:v>8988</c:v>
                </c:pt>
                <c:pt idx="64">
                  <c:v>58490</c:v>
                </c:pt>
                <c:pt idx="65">
                  <c:v>14767</c:v>
                </c:pt>
                <c:pt idx="66">
                  <c:v>35177</c:v>
                </c:pt>
                <c:pt idx="67">
                  <c:v>13253</c:v>
                </c:pt>
                <c:pt idx="68">
                  <c:v>21721</c:v>
                </c:pt>
                <c:pt idx="69">
                  <c:v>17392</c:v>
                </c:pt>
                <c:pt idx="70">
                  <c:v>13028</c:v>
                </c:pt>
                <c:pt idx="71">
                  <c:v>24757</c:v>
                </c:pt>
                <c:pt idx="72">
                  <c:v>28075</c:v>
                </c:pt>
                <c:pt idx="73">
                  <c:v>12724</c:v>
                </c:pt>
                <c:pt idx="74">
                  <c:v>22695</c:v>
                </c:pt>
                <c:pt idx="75">
                  <c:v>20977</c:v>
                </c:pt>
                <c:pt idx="76">
                  <c:v>63366</c:v>
                </c:pt>
                <c:pt idx="77">
                  <c:v>3139</c:v>
                </c:pt>
                <c:pt idx="78">
                  <c:v>13048</c:v>
                </c:pt>
                <c:pt idx="79">
                  <c:v>786</c:v>
                </c:pt>
                <c:pt idx="80">
                  <c:v>7630</c:v>
                </c:pt>
                <c:pt idx="81">
                  <c:v>16088</c:v>
                </c:pt>
                <c:pt idx="82">
                  <c:v>146559</c:v>
                </c:pt>
                <c:pt idx="83">
                  <c:v>61309</c:v>
                </c:pt>
                <c:pt idx="84">
                  <c:v>6104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B7-4183-AFF7-4AD65E34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932192"/>
        <c:axId val="779581600"/>
      </c:scatterChart>
      <c:valAx>
        <c:axId val="6449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региона в общей информационной базе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581600"/>
        <c:crosses val="autoZero"/>
        <c:crossBetween val="midCat"/>
      </c:valAx>
      <c:valAx>
        <c:axId val="7795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правонарушений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493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ru-RU" sz="1400" b="0" i="0">
                <a:solidFill>
                  <a:srgbClr val="000000"/>
                </a:solidFill>
                <a:latin typeface="+mn-lt"/>
              </a:rPr>
              <a:t>Группировка среднего количества преступлений по регионам РФ (2020г.)</a:t>
            </a:r>
          </a:p>
        </c:rich>
      </c:tx>
      <c:layout>
        <c:manualLayout>
          <c:xMode val="edge"/>
          <c:yMode val="edge"/>
          <c:x val="0.12669978960618561"/>
          <c:y val="2.182539966689055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22,00 28,00 12,00 5,00 6,00 4,00 5,00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[1]Иванов!$J$9:$J$15</c:f>
              <c:numCache>
                <c:formatCode>General</c:formatCode>
                <c:ptCount val="7"/>
                <c:pt idx="0">
                  <c:v>4857.5714285714284</c:v>
                </c:pt>
                <c:pt idx="1">
                  <c:v>13108.714285714286</c:v>
                </c:pt>
                <c:pt idx="2">
                  <c:v>21359.857142857145</c:v>
                </c:pt>
                <c:pt idx="3">
                  <c:v>29611</c:v>
                </c:pt>
                <c:pt idx="4">
                  <c:v>37862.142857142855</c:v>
                </c:pt>
                <c:pt idx="5">
                  <c:v>46113.28571428571</c:v>
                </c:pt>
                <c:pt idx="6">
                  <c:v>54364.428571428565</c:v>
                </c:pt>
              </c:numCache>
            </c:numRef>
          </c:cat>
          <c:val>
            <c:numRef>
              <c:f>[1]Иванов!$K$9:$K$15</c:f>
              <c:numCache>
                <c:formatCode>General</c:formatCode>
                <c:ptCount val="7"/>
                <c:pt idx="0">
                  <c:v>19</c:v>
                </c:pt>
                <c:pt idx="1">
                  <c:v>27</c:v>
                </c:pt>
                <c:pt idx="2">
                  <c:v>14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C8-43C6-B986-2228079C0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1488761895"/>
        <c:axId val="1447994485"/>
      </c:barChart>
      <c:catAx>
        <c:axId val="1488761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Средняя количество преступлений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7994485"/>
        <c:crosses val="autoZero"/>
        <c:auto val="1"/>
        <c:lblAlgn val="ctr"/>
        <c:lblOffset val="100"/>
        <c:noMultiLvlLbl val="1"/>
      </c:catAx>
      <c:valAx>
        <c:axId val="1447994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Количество регионов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887618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Распределение регионов РФ по количеству преступлений 
2020г.</a:t>
            </a:r>
          </a:p>
        </c:rich>
      </c:tx>
      <c:layout>
        <c:manualLayout>
          <c:xMode val="edge"/>
          <c:yMode val="edge"/>
          <c:x val="0.19095934999147846"/>
          <c:y val="1.089943215906174E-2"/>
        </c:manualLayout>
      </c:layout>
      <c:overlay val="0"/>
    </c:title>
    <c:autoTitleDeleted val="0"/>
    <c:plotArea>
      <c:layout>
        <c:manualLayout>
          <c:xMode val="edge"/>
          <c:yMode val="edge"/>
          <c:x val="0.13086467832559498"/>
          <c:y val="0.16712301395521106"/>
          <c:w val="0.84752289647771661"/>
          <c:h val="0.6653391385863769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[1]Иванов!$A$3:$A$83</c:f>
              <c:strCache>
                <c:ptCount val="81"/>
                <c:pt idx="0">
                  <c:v>Ненецкий АО</c:v>
                </c:pt>
                <c:pt idx="1">
                  <c:v>Чукотский АО</c:v>
                </c:pt>
                <c:pt idx="2">
                  <c:v>Республика Ингушетия</c:v>
                </c:pt>
                <c:pt idx="3">
                  <c:v>Магаданская область</c:v>
                </c:pt>
                <c:pt idx="4">
                  <c:v>Республика Калмыкия</c:v>
                </c:pt>
                <c:pt idx="5">
                  <c:v>Чеченская Республика</c:v>
                </c:pt>
                <c:pt idx="6">
                  <c:v>Еврейская АО</c:v>
                </c:pt>
                <c:pt idx="7">
                  <c:v>Республика Адыгея</c:v>
                </c:pt>
                <c:pt idx="8">
                  <c:v>Карачаево-Черкесская Респ.</c:v>
                </c:pt>
                <c:pt idx="9">
                  <c:v>Республика Алтай</c:v>
                </c:pt>
                <c:pt idx="10">
                  <c:v>Камчатский край</c:v>
                </c:pt>
                <c:pt idx="11">
                  <c:v>г. Севастополь</c:v>
                </c:pt>
                <c:pt idx="12">
                  <c:v>Кабардино-Балкарская Респ.</c:v>
                </c:pt>
                <c:pt idx="13">
                  <c:v>Республика Марий Эл</c:v>
                </c:pt>
                <c:pt idx="14">
                  <c:v>Ямало-Ненецкий АО</c:v>
                </c:pt>
                <c:pt idx="15">
                  <c:v>Республика Сев. Осетия-Алания</c:v>
                </c:pt>
                <c:pt idx="16">
                  <c:v>Республика Мордовия</c:v>
                </c:pt>
                <c:pt idx="17">
                  <c:v>Республика Тыва</c:v>
                </c:pt>
                <c:pt idx="18">
                  <c:v>Орловская область</c:v>
                </c:pt>
                <c:pt idx="19">
                  <c:v>Сахалинская область</c:v>
                </c:pt>
                <c:pt idx="20">
                  <c:v>Псковская область</c:v>
                </c:pt>
                <c:pt idx="21">
                  <c:v>Костромская область</c:v>
                </c:pt>
                <c:pt idx="22">
                  <c:v>Рязанская область</c:v>
                </c:pt>
                <c:pt idx="23">
                  <c:v>Республика Хакасия</c:v>
                </c:pt>
                <c:pt idx="24">
                  <c:v>Новгородская  область</c:v>
                </c:pt>
                <c:pt idx="25">
                  <c:v>Республика Саха (Якутия)</c:v>
                </c:pt>
                <c:pt idx="26">
                  <c:v>Мурманская область</c:v>
                </c:pt>
                <c:pt idx="27">
                  <c:v>Ульяновская область</c:v>
                </c:pt>
                <c:pt idx="28">
                  <c:v>Тульская область</c:v>
                </c:pt>
                <c:pt idx="29">
                  <c:v>Чувашская Республика</c:v>
                </c:pt>
                <c:pt idx="30">
                  <c:v>Липецкая область</c:v>
                </c:pt>
                <c:pt idx="31">
                  <c:v>Тамбовская область</c:v>
                </c:pt>
                <c:pt idx="32">
                  <c:v>Республика Карелия</c:v>
                </c:pt>
                <c:pt idx="33">
                  <c:v>Пензенская область</c:v>
                </c:pt>
                <c:pt idx="34">
                  <c:v>Калининградская область</c:v>
                </c:pt>
                <c:pt idx="35">
                  <c:v>Ивановская область</c:v>
                </c:pt>
                <c:pt idx="36">
                  <c:v>Курская область</c:v>
                </c:pt>
                <c:pt idx="37">
                  <c:v>Астраханская область</c:v>
                </c:pt>
                <c:pt idx="38">
                  <c:v>Республика Дагестан</c:v>
                </c:pt>
                <c:pt idx="39">
                  <c:v>Белгородская область</c:v>
                </c:pt>
                <c:pt idx="40">
                  <c:v>Смоленская область</c:v>
                </c:pt>
                <c:pt idx="41">
                  <c:v>Брянская область</c:v>
                </c:pt>
                <c:pt idx="42">
                  <c:v>Курганская область</c:v>
                </c:pt>
                <c:pt idx="43">
                  <c:v>Ярославская область</c:v>
                </c:pt>
                <c:pt idx="44">
                  <c:v>Республика Коми</c:v>
                </c:pt>
                <c:pt idx="45">
                  <c:v>Калужская область</c:v>
                </c:pt>
                <c:pt idx="46">
                  <c:v>Вологодская область</c:v>
                </c:pt>
                <c:pt idx="47">
                  <c:v>Владимирская область</c:v>
                </c:pt>
                <c:pt idx="48">
                  <c:v>Томская область</c:v>
                </c:pt>
                <c:pt idx="49">
                  <c:v>Амурская область</c:v>
                </c:pt>
                <c:pt idx="50">
                  <c:v>Кировская область</c:v>
                </c:pt>
                <c:pt idx="51">
                  <c:v>Архангельская область</c:v>
                </c:pt>
                <c:pt idx="52">
                  <c:v>Республика Бурятия</c:v>
                </c:pt>
                <c:pt idx="53">
                  <c:v>Ханты-Мансийский АО</c:v>
                </c:pt>
                <c:pt idx="54">
                  <c:v>Республика Крым</c:v>
                </c:pt>
                <c:pt idx="55">
                  <c:v>Тверская область</c:v>
                </c:pt>
                <c:pt idx="56">
                  <c:v>Хабаровский край</c:v>
                </c:pt>
                <c:pt idx="57">
                  <c:v>Забайкальский край</c:v>
                </c:pt>
                <c:pt idx="58">
                  <c:v>Омская область</c:v>
                </c:pt>
                <c:pt idx="59">
                  <c:v>Тюменская область</c:v>
                </c:pt>
                <c:pt idx="60">
                  <c:v>Ленинградская область</c:v>
                </c:pt>
                <c:pt idx="61">
                  <c:v>Оренбургская область</c:v>
                </c:pt>
                <c:pt idx="62">
                  <c:v>Удмуртская Республика </c:v>
                </c:pt>
                <c:pt idx="63">
                  <c:v>Воронежская область</c:v>
                </c:pt>
                <c:pt idx="64">
                  <c:v>Саратовская область</c:v>
                </c:pt>
                <c:pt idx="65">
                  <c:v>Приморский край</c:v>
                </c:pt>
                <c:pt idx="66">
                  <c:v>Ставропольский край</c:v>
                </c:pt>
                <c:pt idx="67">
                  <c:v>Волгоградская область</c:v>
                </c:pt>
                <c:pt idx="68">
                  <c:v>Алтайский край</c:v>
                </c:pt>
                <c:pt idx="69">
                  <c:v>Пермский край</c:v>
                </c:pt>
                <c:pt idx="70">
                  <c:v>Иркутская область</c:v>
                </c:pt>
                <c:pt idx="71">
                  <c:v>Нижегородская область</c:v>
                </c:pt>
                <c:pt idx="72">
                  <c:v>Самарская область</c:v>
                </c:pt>
                <c:pt idx="73">
                  <c:v>Красноярский край</c:v>
                </c:pt>
                <c:pt idx="74">
                  <c:v>Кемеровская область-Кузбасс</c:v>
                </c:pt>
                <c:pt idx="75">
                  <c:v>Республика Татарстан</c:v>
                </c:pt>
                <c:pt idx="76">
                  <c:v>Новосибирская область</c:v>
                </c:pt>
                <c:pt idx="77">
                  <c:v>Республика Башкортостан</c:v>
                </c:pt>
                <c:pt idx="78">
                  <c:v>Свердловская область</c:v>
                </c:pt>
              </c:strCache>
            </c:strRef>
          </c:xVal>
          <c:yVal>
            <c:numRef>
              <c:f>[1]Иванов!$B$3:$B$83</c:f>
              <c:numCache>
                <c:formatCode>General</c:formatCode>
                <c:ptCount val="81"/>
                <c:pt idx="0">
                  <c:v>732</c:v>
                </c:pt>
                <c:pt idx="1">
                  <c:v>786</c:v>
                </c:pt>
                <c:pt idx="2">
                  <c:v>1909</c:v>
                </c:pt>
                <c:pt idx="3">
                  <c:v>2649</c:v>
                </c:pt>
                <c:pt idx="4">
                  <c:v>2867</c:v>
                </c:pt>
                <c:pt idx="5">
                  <c:v>3139</c:v>
                </c:pt>
                <c:pt idx="6">
                  <c:v>3693</c:v>
                </c:pt>
                <c:pt idx="7">
                  <c:v>4123</c:v>
                </c:pt>
                <c:pt idx="8">
                  <c:v>4667</c:v>
                </c:pt>
                <c:pt idx="9">
                  <c:v>4761</c:v>
                </c:pt>
                <c:pt idx="10">
                  <c:v>5884</c:v>
                </c:pt>
                <c:pt idx="11">
                  <c:v>6104</c:v>
                </c:pt>
                <c:pt idx="12">
                  <c:v>7423</c:v>
                </c:pt>
                <c:pt idx="13">
                  <c:v>7597</c:v>
                </c:pt>
                <c:pt idx="14">
                  <c:v>7630</c:v>
                </c:pt>
                <c:pt idx="15">
                  <c:v>8075</c:v>
                </c:pt>
                <c:pt idx="16">
                  <c:v>8258</c:v>
                </c:pt>
                <c:pt idx="17">
                  <c:v>8546</c:v>
                </c:pt>
                <c:pt idx="18">
                  <c:v>8555</c:v>
                </c:pt>
                <c:pt idx="19">
                  <c:v>8988</c:v>
                </c:pt>
                <c:pt idx="20">
                  <c:v>9031</c:v>
                </c:pt>
                <c:pt idx="21">
                  <c:v>9114</c:v>
                </c:pt>
                <c:pt idx="22">
                  <c:v>10023</c:v>
                </c:pt>
                <c:pt idx="23">
                  <c:v>10839</c:v>
                </c:pt>
                <c:pt idx="24">
                  <c:v>11318</c:v>
                </c:pt>
                <c:pt idx="25">
                  <c:v>12146</c:v>
                </c:pt>
                <c:pt idx="26">
                  <c:v>12228</c:v>
                </c:pt>
                <c:pt idx="27">
                  <c:v>12724</c:v>
                </c:pt>
                <c:pt idx="28">
                  <c:v>13028</c:v>
                </c:pt>
                <c:pt idx="29">
                  <c:v>13048</c:v>
                </c:pt>
                <c:pt idx="30">
                  <c:v>13234</c:v>
                </c:pt>
                <c:pt idx="31">
                  <c:v>13253</c:v>
                </c:pt>
                <c:pt idx="32">
                  <c:v>13449</c:v>
                </c:pt>
                <c:pt idx="33">
                  <c:v>13520</c:v>
                </c:pt>
                <c:pt idx="34">
                  <c:v>13573</c:v>
                </c:pt>
                <c:pt idx="35">
                  <c:v>13752</c:v>
                </c:pt>
                <c:pt idx="36">
                  <c:v>13903</c:v>
                </c:pt>
                <c:pt idx="37">
                  <c:v>14059</c:v>
                </c:pt>
                <c:pt idx="38">
                  <c:v>14143</c:v>
                </c:pt>
                <c:pt idx="39">
                  <c:v>14341</c:v>
                </c:pt>
                <c:pt idx="40">
                  <c:v>14767</c:v>
                </c:pt>
                <c:pt idx="41">
                  <c:v>15178</c:v>
                </c:pt>
                <c:pt idx="42">
                  <c:v>15656</c:v>
                </c:pt>
                <c:pt idx="43">
                  <c:v>16088</c:v>
                </c:pt>
                <c:pt idx="44">
                  <c:v>17204</c:v>
                </c:pt>
                <c:pt idx="45">
                  <c:v>17209</c:v>
                </c:pt>
                <c:pt idx="46">
                  <c:v>17314</c:v>
                </c:pt>
                <c:pt idx="47">
                  <c:v>17371</c:v>
                </c:pt>
                <c:pt idx="48">
                  <c:v>17392</c:v>
                </c:pt>
                <c:pt idx="49">
                  <c:v>18422</c:v>
                </c:pt>
                <c:pt idx="50">
                  <c:v>18921</c:v>
                </c:pt>
                <c:pt idx="51">
                  <c:v>19074</c:v>
                </c:pt>
                <c:pt idx="52">
                  <c:v>20639</c:v>
                </c:pt>
                <c:pt idx="53">
                  <c:v>20977</c:v>
                </c:pt>
                <c:pt idx="54">
                  <c:v>21682</c:v>
                </c:pt>
                <c:pt idx="55">
                  <c:v>21721</c:v>
                </c:pt>
                <c:pt idx="56">
                  <c:v>22695</c:v>
                </c:pt>
                <c:pt idx="57">
                  <c:v>22703</c:v>
                </c:pt>
                <c:pt idx="58">
                  <c:v>24493</c:v>
                </c:pt>
                <c:pt idx="59">
                  <c:v>24757</c:v>
                </c:pt>
                <c:pt idx="60">
                  <c:v>27427</c:v>
                </c:pt>
                <c:pt idx="61">
                  <c:v>27483</c:v>
                </c:pt>
                <c:pt idx="62">
                  <c:v>28075</c:v>
                </c:pt>
                <c:pt idx="63">
                  <c:v>29530</c:v>
                </c:pt>
                <c:pt idx="64">
                  <c:v>30563</c:v>
                </c:pt>
                <c:pt idx="65">
                  <c:v>32336</c:v>
                </c:pt>
                <c:pt idx="66">
                  <c:v>35177</c:v>
                </c:pt>
                <c:pt idx="67">
                  <c:v>38687</c:v>
                </c:pt>
                <c:pt idx="68">
                  <c:v>39029</c:v>
                </c:pt>
                <c:pt idx="69">
                  <c:v>39694</c:v>
                </c:pt>
                <c:pt idx="70">
                  <c:v>42174</c:v>
                </c:pt>
                <c:pt idx="71">
                  <c:v>42337</c:v>
                </c:pt>
                <c:pt idx="72">
                  <c:v>44332</c:v>
                </c:pt>
                <c:pt idx="73">
                  <c:v>48152</c:v>
                </c:pt>
                <c:pt idx="74">
                  <c:v>51730</c:v>
                </c:pt>
                <c:pt idx="75">
                  <c:v>53856</c:v>
                </c:pt>
                <c:pt idx="76">
                  <c:v>54013</c:v>
                </c:pt>
                <c:pt idx="77">
                  <c:v>55883</c:v>
                </c:pt>
                <c:pt idx="78">
                  <c:v>58490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5-450A-9D0C-73E5C96F0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239"/>
        <c:axId val="204126955"/>
      </c:scatterChart>
      <c:valAx>
        <c:axId val="48932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номер региона  таблице</a:t>
                </a:r>
              </a:p>
            </c:rich>
          </c:tx>
          <c:layout>
            <c:manualLayout>
              <c:xMode val="edge"/>
              <c:yMode val="edge"/>
              <c:x val="0.38497119469227281"/>
              <c:y val="0.9022969701551671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4126955"/>
        <c:crosses val="autoZero"/>
        <c:crossBetween val="midCat"/>
      </c:valAx>
      <c:valAx>
        <c:axId val="204126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Times New Roman"/>
                  </a:rPr>
                  <a:t>количество преступлений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8932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ru-RU" sz="1400" b="0" i="0">
                <a:solidFill>
                  <a:srgbClr val="000000"/>
                </a:solidFill>
                <a:latin typeface="+mn-lt"/>
              </a:rPr>
              <a:t>Группировка среднего количества преступлений по регионам РФ (2020г.)</a:t>
            </a:r>
          </a:p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ru-RU" sz="1400" b="0" i="0">
                <a:solidFill>
                  <a:srgbClr val="000000"/>
                </a:solidFill>
                <a:latin typeface="+mn-lt"/>
              </a:rPr>
              <a:t>Полигон</a:t>
            </a:r>
          </a:p>
        </c:rich>
      </c:tx>
      <c:layout>
        <c:manualLayout>
          <c:xMode val="edge"/>
          <c:yMode val="edge"/>
          <c:x val="0.19299812937747424"/>
          <c:y val="2.988192941139155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22,00 28,00 12,00 5,00 6,00 4,00 5,00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[1]Иванов!$J$9:$J$15</c:f>
              <c:numCache>
                <c:formatCode>General</c:formatCode>
                <c:ptCount val="7"/>
                <c:pt idx="0">
                  <c:v>4857.5714285714284</c:v>
                </c:pt>
                <c:pt idx="1">
                  <c:v>13108.714285714286</c:v>
                </c:pt>
                <c:pt idx="2">
                  <c:v>21359.857142857145</c:v>
                </c:pt>
                <c:pt idx="3">
                  <c:v>29611</c:v>
                </c:pt>
                <c:pt idx="4">
                  <c:v>37862.142857142855</c:v>
                </c:pt>
                <c:pt idx="5">
                  <c:v>46113.28571428571</c:v>
                </c:pt>
                <c:pt idx="6">
                  <c:v>54364.428571428565</c:v>
                </c:pt>
              </c:numCache>
            </c:numRef>
          </c:cat>
          <c:val>
            <c:numRef>
              <c:f>[1]Иванов!$K$9:$K$15</c:f>
              <c:numCache>
                <c:formatCode>General</c:formatCode>
                <c:ptCount val="7"/>
                <c:pt idx="0">
                  <c:v>19</c:v>
                </c:pt>
                <c:pt idx="1">
                  <c:v>27</c:v>
                </c:pt>
                <c:pt idx="2">
                  <c:v>14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5-4C53-9A83-25AD240E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164713"/>
        <c:axId val="1819606043"/>
      </c:lineChart>
      <c:catAx>
        <c:axId val="1303164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Средняя количество преступлений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19606043"/>
        <c:crosses val="autoZero"/>
        <c:auto val="1"/>
        <c:lblAlgn val="ctr"/>
        <c:lblOffset val="100"/>
        <c:noMultiLvlLbl val="1"/>
      </c:catAx>
      <c:valAx>
        <c:axId val="1819606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Количество регионов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031647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b="0"/>
              <a:t>Кумулята 2020 г.</a:t>
            </a:r>
          </a:p>
        </c:rich>
      </c:tx>
      <c:layout>
        <c:manualLayout>
          <c:xMode val="edge"/>
          <c:yMode val="edge"/>
          <c:x val="0.4413608396670286"/>
          <c:y val="2.3391812865497075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'2020 г.'!$J$9:$J$15</c:f>
              <c:numCache>
                <c:formatCode>0.00</c:formatCode>
                <c:ptCount val="7"/>
                <c:pt idx="0">
                  <c:v>4857.5714285714284</c:v>
                </c:pt>
                <c:pt idx="1">
                  <c:v>13108.714285714286</c:v>
                </c:pt>
                <c:pt idx="2">
                  <c:v>21359.857142857145</c:v>
                </c:pt>
                <c:pt idx="3">
                  <c:v>29611</c:v>
                </c:pt>
                <c:pt idx="4">
                  <c:v>37862.142857142855</c:v>
                </c:pt>
                <c:pt idx="5">
                  <c:v>46113.28571428571</c:v>
                </c:pt>
                <c:pt idx="6">
                  <c:v>54364.428571428565</c:v>
                </c:pt>
              </c:numCache>
            </c:numRef>
          </c:cat>
          <c:val>
            <c:numRef>
              <c:f>[1]Иванов!$J$9:$J$15</c:f>
              <c:numCache>
                <c:formatCode>General</c:formatCode>
                <c:ptCount val="7"/>
                <c:pt idx="0">
                  <c:v>4857.5714285714284</c:v>
                </c:pt>
                <c:pt idx="1">
                  <c:v>13108.714285714286</c:v>
                </c:pt>
                <c:pt idx="2">
                  <c:v>21359.857142857145</c:v>
                </c:pt>
                <c:pt idx="3">
                  <c:v>29611</c:v>
                </c:pt>
                <c:pt idx="4">
                  <c:v>37862.142857142855</c:v>
                </c:pt>
                <c:pt idx="5">
                  <c:v>46113.28571428571</c:v>
                </c:pt>
                <c:pt idx="6">
                  <c:v>54364.428571428565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F6-41D7-B82B-69DD0D9B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100"/>
        <c:axId val="1496760538"/>
        <c:axId val="151254003"/>
      </c:barChart>
      <c:catAx>
        <c:axId val="1496760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1254003"/>
        <c:crosses val="autoZero"/>
        <c:auto val="1"/>
        <c:lblAlgn val="ctr"/>
        <c:lblOffset val="100"/>
        <c:noMultiLvlLbl val="1"/>
      </c:catAx>
      <c:valAx>
        <c:axId val="151254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9676053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ru-RU" sz="1400" b="0" i="0">
                <a:solidFill>
                  <a:srgbClr val="000000"/>
                </a:solidFill>
                <a:latin typeface="+mn-lt"/>
              </a:rPr>
              <a:t>Группировка среднего количества преступлений по регионам РФ (2021 г.)</a:t>
            </a:r>
          </a:p>
        </c:rich>
      </c:tx>
      <c:layout>
        <c:manualLayout>
          <c:xMode val="edge"/>
          <c:yMode val="edge"/>
          <c:x val="0.12669978960618561"/>
          <c:y val="2.182539966689055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23 29 11 4 7 5 3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'2021 г.'!$J$9:$J$15</c:f>
              <c:numCache>
                <c:formatCode>0.00</c:formatCode>
                <c:ptCount val="7"/>
                <c:pt idx="0">
                  <c:v>4619.7142857142862</c:v>
                </c:pt>
                <c:pt idx="1">
                  <c:v>12291.142857142859</c:v>
                </c:pt>
                <c:pt idx="2">
                  <c:v>19962.571428571431</c:v>
                </c:pt>
                <c:pt idx="3">
                  <c:v>27634.000000000004</c:v>
                </c:pt>
                <c:pt idx="4">
                  <c:v>35305.42857142858</c:v>
                </c:pt>
                <c:pt idx="5">
                  <c:v>42976.857142857145</c:v>
                </c:pt>
                <c:pt idx="6">
                  <c:v>50648.285714285725</c:v>
                </c:pt>
              </c:numCache>
            </c:numRef>
          </c:cat>
          <c:val>
            <c:numRef>
              <c:f>'2021 г.'!$K$9:$K$15</c:f>
              <c:numCache>
                <c:formatCode>General</c:formatCode>
                <c:ptCount val="7"/>
                <c:pt idx="0">
                  <c:v>18</c:v>
                </c:pt>
                <c:pt idx="1">
                  <c:v>28</c:v>
                </c:pt>
                <c:pt idx="2">
                  <c:v>12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40-4D2F-9C95-26A37ECA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1434176219"/>
        <c:axId val="1085519424"/>
      </c:barChart>
      <c:catAx>
        <c:axId val="1434176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Средняя количество преступлений
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85519424"/>
        <c:crosses val="autoZero"/>
        <c:auto val="1"/>
        <c:lblAlgn val="ctr"/>
        <c:lblOffset val="100"/>
        <c:noMultiLvlLbl val="1"/>
      </c:catAx>
      <c:valAx>
        <c:axId val="1085519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Количество регионов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341762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Распределение регионов РФ по количеству преступлений 
2021 г.</a:t>
            </a:r>
          </a:p>
        </c:rich>
      </c:tx>
      <c:layout>
        <c:manualLayout>
          <c:xMode val="edge"/>
          <c:yMode val="edge"/>
          <c:x val="0.26897480091529941"/>
          <c:y val="3.2770498752313505E-2"/>
        </c:manualLayout>
      </c:layout>
      <c:overlay val="0"/>
    </c:title>
    <c:autoTitleDeleted val="0"/>
    <c:plotArea>
      <c:layout>
        <c:manualLayout>
          <c:xMode val="edge"/>
          <c:yMode val="edge"/>
          <c:x val="0.13086467832559498"/>
          <c:y val="0.16712301395521106"/>
          <c:w val="0.84752289647771661"/>
          <c:h val="0.6653391385863769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'2021 г.'!$A$3:$A$87</c:f>
              <c:strCache>
                <c:ptCount val="79"/>
                <c:pt idx="0">
                  <c:v>Чукотский АО</c:v>
                </c:pt>
                <c:pt idx="1">
                  <c:v>Ненецкий АО</c:v>
                </c:pt>
                <c:pt idx="2">
                  <c:v>Республика Ингушетия</c:v>
                </c:pt>
                <c:pt idx="3">
                  <c:v>Магаданская область</c:v>
                </c:pt>
                <c:pt idx="4">
                  <c:v>Республика Калмыкия</c:v>
                </c:pt>
                <c:pt idx="5">
                  <c:v>Чеченская Республика</c:v>
                </c:pt>
                <c:pt idx="6">
                  <c:v>Еврейская АО</c:v>
                </c:pt>
                <c:pt idx="7">
                  <c:v>Карачаево-Черкесская Респ.</c:v>
                </c:pt>
                <c:pt idx="8">
                  <c:v>Республика Адыгея</c:v>
                </c:pt>
                <c:pt idx="9">
                  <c:v>Республика Алтай</c:v>
                </c:pt>
                <c:pt idx="10">
                  <c:v>Камчатский край</c:v>
                </c:pt>
                <c:pt idx="11">
                  <c:v>г. Севастополь</c:v>
                </c:pt>
                <c:pt idx="12">
                  <c:v>Ямало-Ненецкий АО</c:v>
                </c:pt>
                <c:pt idx="13">
                  <c:v>Кабардино-Балкарская Респ.</c:v>
                </c:pt>
                <c:pt idx="14">
                  <c:v>Республика Марий Эл</c:v>
                </c:pt>
                <c:pt idx="15">
                  <c:v>Орловская область</c:v>
                </c:pt>
                <c:pt idx="16">
                  <c:v>Республика Сев. Осетия-Алания</c:v>
                </c:pt>
                <c:pt idx="17">
                  <c:v>Псковская область</c:v>
                </c:pt>
                <c:pt idx="18">
                  <c:v>Республика Тыва</c:v>
                </c:pt>
                <c:pt idx="19">
                  <c:v>Республика Мордовия</c:v>
                </c:pt>
                <c:pt idx="20">
                  <c:v>Сахалинская область</c:v>
                </c:pt>
                <c:pt idx="21">
                  <c:v>Костромская область</c:v>
                </c:pt>
                <c:pt idx="22">
                  <c:v>Рязанская область</c:v>
                </c:pt>
                <c:pt idx="23">
                  <c:v>Новгородская  область</c:v>
                </c:pt>
                <c:pt idx="24">
                  <c:v>Республика Хакасия</c:v>
                </c:pt>
                <c:pt idx="25">
                  <c:v>Ивановская область</c:v>
                </c:pt>
                <c:pt idx="26">
                  <c:v>Мурманская область</c:v>
                </c:pt>
                <c:pt idx="27">
                  <c:v>Ульяновская область</c:v>
                </c:pt>
                <c:pt idx="28">
                  <c:v>Чувашская Республика</c:v>
                </c:pt>
                <c:pt idx="29">
                  <c:v>Республика Саха (Якутия)</c:v>
                </c:pt>
                <c:pt idx="30">
                  <c:v>Липецкая область</c:v>
                </c:pt>
                <c:pt idx="31">
                  <c:v>Калининградская область</c:v>
                </c:pt>
                <c:pt idx="32">
                  <c:v>Пензенская область</c:v>
                </c:pt>
                <c:pt idx="33">
                  <c:v>Тамбовская область</c:v>
                </c:pt>
                <c:pt idx="34">
                  <c:v>Курская область</c:v>
                </c:pt>
                <c:pt idx="35">
                  <c:v>Республика Карелия</c:v>
                </c:pt>
                <c:pt idx="36">
                  <c:v>Астраханская область</c:v>
                </c:pt>
                <c:pt idx="37">
                  <c:v>Смоленская область</c:v>
                </c:pt>
                <c:pt idx="38">
                  <c:v>Белгородская область</c:v>
                </c:pt>
                <c:pt idx="39">
                  <c:v>Брянская область</c:v>
                </c:pt>
                <c:pt idx="40">
                  <c:v>Курганская область</c:v>
                </c:pt>
                <c:pt idx="41">
                  <c:v>Республика Дагестан</c:v>
                </c:pt>
                <c:pt idx="42">
                  <c:v>Республика Коми</c:v>
                </c:pt>
                <c:pt idx="43">
                  <c:v>Тульская область</c:v>
                </c:pt>
                <c:pt idx="44">
                  <c:v>Калужская область</c:v>
                </c:pt>
                <c:pt idx="45">
                  <c:v>Ярославская область</c:v>
                </c:pt>
                <c:pt idx="46">
                  <c:v>Владимирская область</c:v>
                </c:pt>
                <c:pt idx="47">
                  <c:v>Томская область</c:v>
                </c:pt>
                <c:pt idx="48">
                  <c:v>Архангельская область</c:v>
                </c:pt>
                <c:pt idx="49">
                  <c:v>Вологодская область</c:v>
                </c:pt>
                <c:pt idx="50">
                  <c:v>Амурская область</c:v>
                </c:pt>
                <c:pt idx="51">
                  <c:v>Кировская область</c:v>
                </c:pt>
                <c:pt idx="52">
                  <c:v>Тверская область</c:v>
                </c:pt>
                <c:pt idx="53">
                  <c:v>Республика Крым</c:v>
                </c:pt>
                <c:pt idx="54">
                  <c:v>Республика Бурятия</c:v>
                </c:pt>
                <c:pt idx="55">
                  <c:v>Ханты-Мансийский АО</c:v>
                </c:pt>
                <c:pt idx="56">
                  <c:v>Забайкальский край</c:v>
                </c:pt>
                <c:pt idx="57">
                  <c:v>Хабаровский край</c:v>
                </c:pt>
                <c:pt idx="58">
                  <c:v>Омская область</c:v>
                </c:pt>
                <c:pt idx="59">
                  <c:v>Тюменская область</c:v>
                </c:pt>
                <c:pt idx="60">
                  <c:v>Оренбургская область</c:v>
                </c:pt>
                <c:pt idx="61">
                  <c:v>Удмуртская Республика </c:v>
                </c:pt>
                <c:pt idx="62">
                  <c:v>Ленинградская область</c:v>
                </c:pt>
                <c:pt idx="63">
                  <c:v>Воронежская область</c:v>
                </c:pt>
                <c:pt idx="64">
                  <c:v>Саратовская область</c:v>
                </c:pt>
                <c:pt idx="65">
                  <c:v>Ставропольский край</c:v>
                </c:pt>
                <c:pt idx="66">
                  <c:v>Приморский край</c:v>
                </c:pt>
                <c:pt idx="67">
                  <c:v>Волгоградская область</c:v>
                </c:pt>
                <c:pt idx="68">
                  <c:v>Алтайский край</c:v>
                </c:pt>
                <c:pt idx="69">
                  <c:v>Иркутская область</c:v>
                </c:pt>
                <c:pt idx="70">
                  <c:v>Нижегородская область</c:v>
                </c:pt>
                <c:pt idx="71">
                  <c:v>Пермский край</c:v>
                </c:pt>
                <c:pt idx="72">
                  <c:v>Самарская область</c:v>
                </c:pt>
                <c:pt idx="73">
                  <c:v>Новосибирская область</c:v>
                </c:pt>
                <c:pt idx="74">
                  <c:v>Красноярский край</c:v>
                </c:pt>
                <c:pt idx="75">
                  <c:v>Кемеровская область-Кузбасс</c:v>
                </c:pt>
                <c:pt idx="76">
                  <c:v>Республика Татарстан</c:v>
                </c:pt>
                <c:pt idx="77">
                  <c:v>Республика Башкортостан</c:v>
                </c:pt>
                <c:pt idx="78">
                  <c:v>Свердловская область</c:v>
                </c:pt>
              </c:strCache>
            </c:strRef>
          </c:xVal>
          <c:yVal>
            <c:numRef>
              <c:f>'2021 г.'!$B$3:$B$87</c:f>
              <c:numCache>
                <c:formatCode>General</c:formatCode>
                <c:ptCount val="85"/>
                <c:pt idx="0">
                  <c:v>784</c:v>
                </c:pt>
                <c:pt idx="1">
                  <c:v>852</c:v>
                </c:pt>
                <c:pt idx="2">
                  <c:v>2103</c:v>
                </c:pt>
                <c:pt idx="3">
                  <c:v>2562</c:v>
                </c:pt>
                <c:pt idx="4">
                  <c:v>2940</c:v>
                </c:pt>
                <c:pt idx="5">
                  <c:v>3128</c:v>
                </c:pt>
                <c:pt idx="6">
                  <c:v>3323</c:v>
                </c:pt>
                <c:pt idx="7">
                  <c:v>4345</c:v>
                </c:pt>
                <c:pt idx="8">
                  <c:v>4496</c:v>
                </c:pt>
                <c:pt idx="9">
                  <c:v>4762</c:v>
                </c:pt>
                <c:pt idx="10">
                  <c:v>5909</c:v>
                </c:pt>
                <c:pt idx="11">
                  <c:v>6136</c:v>
                </c:pt>
                <c:pt idx="12">
                  <c:v>6961</c:v>
                </c:pt>
                <c:pt idx="13">
                  <c:v>7557</c:v>
                </c:pt>
                <c:pt idx="14">
                  <c:v>7656</c:v>
                </c:pt>
                <c:pt idx="15">
                  <c:v>8151</c:v>
                </c:pt>
                <c:pt idx="16">
                  <c:v>8152</c:v>
                </c:pt>
                <c:pt idx="17">
                  <c:v>8377</c:v>
                </c:pt>
                <c:pt idx="18">
                  <c:v>8483</c:v>
                </c:pt>
                <c:pt idx="19">
                  <c:v>8533</c:v>
                </c:pt>
                <c:pt idx="20">
                  <c:v>8876</c:v>
                </c:pt>
                <c:pt idx="21">
                  <c:v>8927</c:v>
                </c:pt>
                <c:pt idx="22">
                  <c:v>9151</c:v>
                </c:pt>
                <c:pt idx="23">
                  <c:v>10630</c:v>
                </c:pt>
                <c:pt idx="24">
                  <c:v>11024</c:v>
                </c:pt>
                <c:pt idx="25">
                  <c:v>12064</c:v>
                </c:pt>
                <c:pt idx="26">
                  <c:v>12096</c:v>
                </c:pt>
                <c:pt idx="27">
                  <c:v>12276</c:v>
                </c:pt>
                <c:pt idx="28">
                  <c:v>12567</c:v>
                </c:pt>
                <c:pt idx="29">
                  <c:v>13005</c:v>
                </c:pt>
                <c:pt idx="30">
                  <c:v>13073</c:v>
                </c:pt>
                <c:pt idx="31">
                  <c:v>13269</c:v>
                </c:pt>
                <c:pt idx="32">
                  <c:v>13470</c:v>
                </c:pt>
                <c:pt idx="33">
                  <c:v>13537</c:v>
                </c:pt>
                <c:pt idx="34">
                  <c:v>13538</c:v>
                </c:pt>
                <c:pt idx="35">
                  <c:v>13670</c:v>
                </c:pt>
                <c:pt idx="36">
                  <c:v>13801</c:v>
                </c:pt>
                <c:pt idx="37">
                  <c:v>14013</c:v>
                </c:pt>
                <c:pt idx="38">
                  <c:v>14067</c:v>
                </c:pt>
                <c:pt idx="39">
                  <c:v>14202</c:v>
                </c:pt>
                <c:pt idx="40">
                  <c:v>14765</c:v>
                </c:pt>
                <c:pt idx="41">
                  <c:v>14852</c:v>
                </c:pt>
                <c:pt idx="42">
                  <c:v>15026</c:v>
                </c:pt>
                <c:pt idx="43">
                  <c:v>15554</c:v>
                </c:pt>
                <c:pt idx="44">
                  <c:v>15961</c:v>
                </c:pt>
                <c:pt idx="45">
                  <c:v>16066</c:v>
                </c:pt>
                <c:pt idx="46">
                  <c:v>16248</c:v>
                </c:pt>
                <c:pt idx="47">
                  <c:v>16813</c:v>
                </c:pt>
                <c:pt idx="48">
                  <c:v>16996</c:v>
                </c:pt>
                <c:pt idx="49">
                  <c:v>17775</c:v>
                </c:pt>
                <c:pt idx="50">
                  <c:v>18231</c:v>
                </c:pt>
                <c:pt idx="51">
                  <c:v>19034</c:v>
                </c:pt>
                <c:pt idx="52">
                  <c:v>20583</c:v>
                </c:pt>
                <c:pt idx="53">
                  <c:v>20727</c:v>
                </c:pt>
                <c:pt idx="54">
                  <c:v>20770</c:v>
                </c:pt>
                <c:pt idx="55">
                  <c:v>20788</c:v>
                </c:pt>
                <c:pt idx="56">
                  <c:v>21707</c:v>
                </c:pt>
                <c:pt idx="57">
                  <c:v>21987</c:v>
                </c:pt>
                <c:pt idx="58">
                  <c:v>23825</c:v>
                </c:pt>
                <c:pt idx="59">
                  <c:v>24160</c:v>
                </c:pt>
                <c:pt idx="60">
                  <c:v>24989</c:v>
                </c:pt>
                <c:pt idx="61">
                  <c:v>26524</c:v>
                </c:pt>
                <c:pt idx="62">
                  <c:v>27092</c:v>
                </c:pt>
                <c:pt idx="63">
                  <c:v>29552</c:v>
                </c:pt>
                <c:pt idx="64">
                  <c:v>29831</c:v>
                </c:pt>
                <c:pt idx="65">
                  <c:v>34008</c:v>
                </c:pt>
                <c:pt idx="66">
                  <c:v>35098</c:v>
                </c:pt>
                <c:pt idx="67">
                  <c:v>37910</c:v>
                </c:pt>
                <c:pt idx="68">
                  <c:v>39070</c:v>
                </c:pt>
                <c:pt idx="69">
                  <c:v>39363</c:v>
                </c:pt>
                <c:pt idx="70">
                  <c:v>40530</c:v>
                </c:pt>
                <c:pt idx="71">
                  <c:v>40594</c:v>
                </c:pt>
                <c:pt idx="72">
                  <c:v>43280</c:v>
                </c:pt>
                <c:pt idx="73">
                  <c:v>46463</c:v>
                </c:pt>
                <c:pt idx="74">
                  <c:v>47027</c:v>
                </c:pt>
                <c:pt idx="75">
                  <c:v>50465</c:v>
                </c:pt>
                <c:pt idx="76">
                  <c:v>51933</c:v>
                </c:pt>
                <c:pt idx="77">
                  <c:v>52437</c:v>
                </c:pt>
                <c:pt idx="78">
                  <c:v>54484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A7-49D6-8931-7FA9EE104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710503"/>
        <c:axId val="1072605765"/>
      </c:scatterChart>
      <c:valAx>
        <c:axId val="17837105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Номер региона  таблице</a:t>
                </a:r>
              </a:p>
            </c:rich>
          </c:tx>
          <c:layout>
            <c:manualLayout>
              <c:xMode val="edge"/>
              <c:yMode val="edge"/>
              <c:x val="0.48999195509976984"/>
              <c:y val="0.8554302470303634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72605765"/>
        <c:crosses val="autoZero"/>
        <c:crossBetween val="midCat"/>
      </c:valAx>
      <c:valAx>
        <c:axId val="1072605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Times New Roman"/>
                  </a:rPr>
                  <a:t>количество преступлений</a:t>
                </a:r>
              </a:p>
            </c:rich>
          </c:tx>
          <c:layout>
            <c:manualLayout>
              <c:xMode val="edge"/>
              <c:yMode val="edge"/>
              <c:x val="0.10160886191241809"/>
              <c:y val="0.29852243313997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8371050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ru-RU" sz="1400" b="0" i="0">
                <a:solidFill>
                  <a:srgbClr val="000000"/>
                </a:solidFill>
                <a:latin typeface="+mn-lt"/>
              </a:rPr>
              <a:t>Группировка среднего количества преступлений по регионам РФ (2021 г.)
Полигон</a:t>
            </a:r>
          </a:p>
        </c:rich>
      </c:tx>
      <c:layout>
        <c:manualLayout>
          <c:xMode val="edge"/>
          <c:yMode val="edge"/>
          <c:x val="0.12669978960618561"/>
          <c:y val="2.182539966689055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23 29 11 4 7 5 3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'2021 г.'!$J$9:$J$15</c:f>
              <c:numCache>
                <c:formatCode>0.00</c:formatCode>
                <c:ptCount val="7"/>
                <c:pt idx="0">
                  <c:v>4619.7142857142862</c:v>
                </c:pt>
                <c:pt idx="1">
                  <c:v>12291.142857142859</c:v>
                </c:pt>
                <c:pt idx="2">
                  <c:v>19962.571428571431</c:v>
                </c:pt>
                <c:pt idx="3">
                  <c:v>27634.000000000004</c:v>
                </c:pt>
                <c:pt idx="4">
                  <c:v>35305.42857142858</c:v>
                </c:pt>
                <c:pt idx="5">
                  <c:v>42976.857142857145</c:v>
                </c:pt>
                <c:pt idx="6">
                  <c:v>50648.285714285725</c:v>
                </c:pt>
              </c:numCache>
            </c:numRef>
          </c:cat>
          <c:val>
            <c:numRef>
              <c:f>'2021 г.'!$K$9:$K$15</c:f>
              <c:numCache>
                <c:formatCode>General</c:formatCode>
                <c:ptCount val="7"/>
                <c:pt idx="0">
                  <c:v>18</c:v>
                </c:pt>
                <c:pt idx="1">
                  <c:v>28</c:v>
                </c:pt>
                <c:pt idx="2">
                  <c:v>12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4-4AFB-BFB9-DD59084C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850153"/>
        <c:axId val="836015394"/>
      </c:lineChart>
      <c:catAx>
        <c:axId val="2036850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Средняя количество преступлений
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36015394"/>
        <c:crosses val="autoZero"/>
        <c:auto val="1"/>
        <c:lblAlgn val="ctr"/>
        <c:lblOffset val="100"/>
        <c:noMultiLvlLbl val="1"/>
      </c:catAx>
      <c:valAx>
        <c:axId val="83601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Количество регионов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368501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ru-RU" sz="1800" b="0"/>
              <a:t>Кумулята</a:t>
            </a:r>
            <a:r>
              <a:rPr lang="ru-RU" sz="1800" b="0" baseline="0"/>
              <a:t> 2021 г.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'2021 г.'!$J$9:$J$15</c:f>
              <c:numCache>
                <c:formatCode>0.00</c:formatCode>
                <c:ptCount val="7"/>
                <c:pt idx="0">
                  <c:v>4619.7142857142862</c:v>
                </c:pt>
                <c:pt idx="1">
                  <c:v>12291.142857142859</c:v>
                </c:pt>
                <c:pt idx="2">
                  <c:v>19962.571428571431</c:v>
                </c:pt>
                <c:pt idx="3">
                  <c:v>27634.000000000004</c:v>
                </c:pt>
                <c:pt idx="4">
                  <c:v>35305.42857142858</c:v>
                </c:pt>
                <c:pt idx="5">
                  <c:v>42976.857142857145</c:v>
                </c:pt>
                <c:pt idx="6">
                  <c:v>50648.285714285725</c:v>
                </c:pt>
              </c:numCache>
            </c:numRef>
          </c:cat>
          <c:val>
            <c:numRef>
              <c:f>'2021 г.'!$J$9:$J$15</c:f>
              <c:numCache>
                <c:formatCode>0.00</c:formatCode>
                <c:ptCount val="7"/>
                <c:pt idx="0">
                  <c:v>4619.7142857142862</c:v>
                </c:pt>
                <c:pt idx="1">
                  <c:v>12291.142857142859</c:v>
                </c:pt>
                <c:pt idx="2">
                  <c:v>19962.571428571431</c:v>
                </c:pt>
                <c:pt idx="3">
                  <c:v>27634.000000000004</c:v>
                </c:pt>
                <c:pt idx="4">
                  <c:v>35305.42857142858</c:v>
                </c:pt>
                <c:pt idx="5">
                  <c:v>42976.857142857145</c:v>
                </c:pt>
                <c:pt idx="6">
                  <c:v>50648.285714285725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78-4B23-BE99-07757A613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overlap val="100"/>
        <c:axId val="835635285"/>
        <c:axId val="1848786521"/>
      </c:barChart>
      <c:catAx>
        <c:axId val="835635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48786521"/>
        <c:crosses val="autoZero"/>
        <c:auto val="1"/>
        <c:lblAlgn val="ctr"/>
        <c:lblOffset val="100"/>
        <c:noMultiLvlLbl val="1"/>
      </c:catAx>
      <c:valAx>
        <c:axId val="1848786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356352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5C9EDA71-18ED-4CF2-9290-10058E3C666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EC373F1C-C745-4A78-86A3-960DE78CE8E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microsoft.com/office/2014/relationships/chartEx" Target="../charts/chartEx2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123825</xdr:rowOff>
    </xdr:from>
    <xdr:to>
      <xdr:col>11</xdr:col>
      <xdr:colOff>619125</xdr:colOff>
      <xdr:row>34</xdr:row>
      <xdr:rowOff>62918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53BD519-3C75-4205-86CA-4800A6288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8582025" cy="3152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6CDAFB3A-2003-4157-8679-9E37D80CA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38</xdr:row>
      <xdr:rowOff>171450</xdr:rowOff>
    </xdr:from>
    <xdr:ext cx="8801100" cy="2933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4E2730-370B-4B72-AD44-D808C8A8A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57</xdr:row>
      <xdr:rowOff>0</xdr:rowOff>
    </xdr:from>
    <xdr:ext cx="8620125" cy="3152775"/>
    <xdr:graphicFrame macro="">
      <xdr:nvGraphicFramePr>
        <xdr:cNvPr id="4" name="Chart 3" title="Диаграмма">
          <a:extLst>
            <a:ext uri="{FF2B5EF4-FFF2-40B4-BE49-F238E27FC236}">
              <a16:creationId xmlns:a16="http://schemas.microsoft.com/office/drawing/2014/main" id="{80BECCEA-4007-4081-958C-786410745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9525</xdr:colOff>
      <xdr:row>75</xdr:row>
      <xdr:rowOff>161925</xdr:rowOff>
    </xdr:from>
    <xdr:ext cx="8772525" cy="32575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263A16-1712-44A5-A04C-764A01466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9525</xdr:colOff>
      <xdr:row>17</xdr:row>
      <xdr:rowOff>0</xdr:rowOff>
    </xdr:from>
    <xdr:ext cx="4943475" cy="3248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5BAC8C35-B5A4-4A4C-A43B-DD5A3DC9991D}"/>
            </a:ext>
          </a:extLst>
        </xdr:cNvPr>
        <xdr:cNvSpPr txBox="1"/>
      </xdr:nvSpPr>
      <xdr:spPr>
        <a:xfrm>
          <a:off x="16026765" y="3832860"/>
          <a:ext cx="4943475" cy="32480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Вывод: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Среднее арифметическое.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Среднее арифметическое обоих рядов близко по значению, что говорит о схожести распределения данных в обоих типах рядов. Среднее количество зарегистрированных преступлений составляет 20814.28 для дискретных данных и 20591.56 для интервальных данных.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Мода.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 дискретном ряду значения индивидуальные, поэтому моду нельзя вывести. Для интервального ряда была найдена мода, равная 18627,43, что указывает на частое присутствие этого значения в выборке.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Медиана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Медиана в дискретном ряду равна 14972.5, в то время как в интервальном ряду она составляет 13079.85. Это говорит о том, что половина регионов имеет меньше зарегистрированных преступлений, чем 14972.5 в дискретном ряду и 13079.85 в интервальном ряду.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28575</xdr:colOff>
      <xdr:row>0</xdr:row>
      <xdr:rowOff>219075</xdr:rowOff>
    </xdr:from>
    <xdr:ext cx="10591800" cy="9429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4EA193EE-55C3-47F9-B06E-0DCDB8A9C42D}"/>
            </a:ext>
          </a:extLst>
        </xdr:cNvPr>
        <xdr:cNvSpPr txBox="1"/>
      </xdr:nvSpPr>
      <xdr:spPr>
        <a:xfrm>
          <a:off x="4158615" y="219075"/>
          <a:ext cx="10591800" cy="9429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/>
        </a:p>
      </xdr:txBody>
    </xdr:sp>
    <xdr:clientData fLocksWithSheet="0"/>
  </xdr:oneCellAnchor>
  <xdr:oneCellAnchor>
    <xdr:from>
      <xdr:col>17</xdr:col>
      <xdr:colOff>590550</xdr:colOff>
      <xdr:row>0</xdr:row>
      <xdr:rowOff>219075</xdr:rowOff>
    </xdr:from>
    <xdr:ext cx="5400675" cy="94297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95E3F1C2-A38C-4036-B356-E8280F666468}"/>
            </a:ext>
          </a:extLst>
        </xdr:cNvPr>
        <xdr:cNvSpPr txBox="1"/>
      </xdr:nvSpPr>
      <xdr:spPr>
        <a:xfrm>
          <a:off x="15998190" y="219075"/>
          <a:ext cx="5400675" cy="9429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/>
        </a:p>
      </xdr:txBody>
    </xdr:sp>
    <xdr:clientData fLocksWithSheet="0"/>
  </xdr:oneCellAnchor>
  <xdr:oneCellAnchor>
    <xdr:from>
      <xdr:col>5</xdr:col>
      <xdr:colOff>0</xdr:colOff>
      <xdr:row>96</xdr:row>
      <xdr:rowOff>0</xdr:rowOff>
    </xdr:from>
    <xdr:ext cx="4943475" cy="1914525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3C8F5D1F-D5F9-4FB9-9C74-6B9902564D92}"/>
            </a:ext>
          </a:extLst>
        </xdr:cNvPr>
        <xdr:cNvSpPr txBox="1"/>
      </xdr:nvSpPr>
      <xdr:spPr>
        <a:xfrm>
          <a:off x="5433060" y="17678400"/>
          <a:ext cx="4943475" cy="19145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Вывод: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Отсортировали данные по возрастанию; 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Определили минимальное и максимальное значение и размахс помощью функций;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Посчитали количесвто групп по формуле; 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Построили все необходимые графики. Вывод: все этапы домашней работы были выполнены. В результате выполнения с помощью ящика с усами выделили выбросы и исключили их. Но в общей таблице оставили их для дальнейшего использования.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600075</xdr:colOff>
      <xdr:row>0</xdr:row>
      <xdr:rowOff>515785</xdr:rowOff>
    </xdr:from>
    <xdr:ext cx="3905250" cy="31145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24AF1E58-6022-451B-BDA5-40FE11D6F532}"/>
            </a:ext>
          </a:extLst>
        </xdr:cNvPr>
        <xdr:cNvSpPr txBox="1"/>
      </xdr:nvSpPr>
      <xdr:spPr>
        <a:xfrm>
          <a:off x="22642657" y="515785"/>
          <a:ext cx="3905250" cy="31145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0</xdr:col>
      <xdr:colOff>169209</xdr:colOff>
      <xdr:row>84</xdr:row>
      <xdr:rowOff>53788</xdr:rowOff>
    </xdr:from>
    <xdr:to>
      <xdr:col>3</xdr:col>
      <xdr:colOff>283509</xdr:colOff>
      <xdr:row>100</xdr:row>
      <xdr:rowOff>53789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AD4EED50-7215-40FF-97E1-9F4D0BBCF2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209" y="15629068"/>
              <a:ext cx="3634740" cy="2804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7639050" cy="3152775"/>
    <xdr:graphicFrame macro="">
      <xdr:nvGraphicFramePr>
        <xdr:cNvPr id="1802578253" name="Chart 5" title="Диаграмма">
          <a:extLst>
            <a:ext uri="{FF2B5EF4-FFF2-40B4-BE49-F238E27FC236}">
              <a16:creationId xmlns:a16="http://schemas.microsoft.com/office/drawing/2014/main" id="{00000000-0008-0000-0200-00004D297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575733</xdr:colOff>
      <xdr:row>31</xdr:row>
      <xdr:rowOff>158436</xdr:rowOff>
    </xdr:from>
    <xdr:ext cx="7641744" cy="4064723"/>
    <xdr:graphicFrame macro="">
      <xdr:nvGraphicFramePr>
        <xdr:cNvPr id="937630829" name="Chart 6">
          <a:extLst>
            <a:ext uri="{FF2B5EF4-FFF2-40B4-BE49-F238E27FC236}">
              <a16:creationId xmlns:a16="http://schemas.microsoft.com/office/drawing/2014/main" id="{00000000-0008-0000-0200-00006D1CE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53</xdr:row>
      <xdr:rowOff>0</xdr:rowOff>
    </xdr:from>
    <xdr:ext cx="7639050" cy="3152775"/>
    <xdr:graphicFrame macro="">
      <xdr:nvGraphicFramePr>
        <xdr:cNvPr id="1018132829" name="Chart 7" title="Диаграмма">
          <a:extLst>
            <a:ext uri="{FF2B5EF4-FFF2-40B4-BE49-F238E27FC236}">
              <a16:creationId xmlns:a16="http://schemas.microsoft.com/office/drawing/2014/main" id="{00000000-0008-0000-0200-00005D79A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0</xdr:colOff>
      <xdr:row>70</xdr:row>
      <xdr:rowOff>0</xdr:rowOff>
    </xdr:from>
    <xdr:ext cx="8709660" cy="3276600"/>
    <xdr:graphicFrame macro="">
      <xdr:nvGraphicFramePr>
        <xdr:cNvPr id="1854636864" name="Chart 8">
          <a:extLst>
            <a:ext uri="{FF2B5EF4-FFF2-40B4-BE49-F238E27FC236}">
              <a16:creationId xmlns:a16="http://schemas.microsoft.com/office/drawing/2014/main" id="{00000000-0008-0000-0200-000040838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0</xdr:col>
      <xdr:colOff>702879</xdr:colOff>
      <xdr:row>87</xdr:row>
      <xdr:rowOff>157655</xdr:rowOff>
    </xdr:from>
    <xdr:to>
      <xdr:col>3</xdr:col>
      <xdr:colOff>26276</xdr:colOff>
      <xdr:row>98</xdr:row>
      <xdr:rowOff>51238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4A157100-55A3-4517-9ABD-2049DFCBCA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879" y="18689495"/>
              <a:ext cx="3369617" cy="2423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5;&#1072;&#1074;&#1077;&#1083;/Desktop/&#1050;&#1086;&#1087;&#1080;&#1103;%20&#1044;&#1047;&#8470;4_&#1048;&#1074;&#1072;&#1085;&#1086;&#1074;&#1048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казатели преступности России"/>
      <sheetName val="Иванов"/>
    </sheetNames>
    <sheetDataSet>
      <sheetData sheetId="0" refreshError="1"/>
      <sheetData sheetId="1">
        <row r="3">
          <cell r="A3" t="str">
            <v>Ненецкий АО</v>
          </cell>
          <cell r="B3">
            <v>732</v>
          </cell>
        </row>
        <row r="4">
          <cell r="A4" t="str">
            <v>Чукотский АО</v>
          </cell>
          <cell r="B4">
            <v>786</v>
          </cell>
        </row>
        <row r="5">
          <cell r="A5" t="str">
            <v>Республика Ингушетия</v>
          </cell>
          <cell r="B5">
            <v>1909</v>
          </cell>
        </row>
        <row r="6">
          <cell r="A6" t="str">
            <v>Магаданская область</v>
          </cell>
          <cell r="B6">
            <v>2649</v>
          </cell>
        </row>
        <row r="7">
          <cell r="A7" t="str">
            <v>Республика Калмыкия</v>
          </cell>
          <cell r="B7">
            <v>2867</v>
          </cell>
        </row>
        <row r="8">
          <cell r="A8" t="str">
            <v>Чеченская Республика</v>
          </cell>
          <cell r="B8">
            <v>3139</v>
          </cell>
        </row>
        <row r="9">
          <cell r="A9" t="str">
            <v>Еврейская АО</v>
          </cell>
          <cell r="B9">
            <v>3693</v>
          </cell>
          <cell r="J9">
            <v>4857.5714285714284</v>
          </cell>
          <cell r="K9">
            <v>19</v>
          </cell>
        </row>
        <row r="10">
          <cell r="A10" t="str">
            <v>Республика Адыгея</v>
          </cell>
          <cell r="B10">
            <v>4123</v>
          </cell>
          <cell r="J10">
            <v>13108.714285714286</v>
          </cell>
          <cell r="K10">
            <v>27</v>
          </cell>
        </row>
        <row r="11">
          <cell r="A11" t="str">
            <v>Карачаево-Черкесская Респ.</v>
          </cell>
          <cell r="B11">
            <v>4667</v>
          </cell>
          <cell r="J11">
            <v>21359.857142857145</v>
          </cell>
          <cell r="K11">
            <v>14</v>
          </cell>
        </row>
        <row r="12">
          <cell r="A12" t="str">
            <v>Республика Алтай</v>
          </cell>
          <cell r="B12">
            <v>4761</v>
          </cell>
          <cell r="J12">
            <v>29611</v>
          </cell>
          <cell r="K12">
            <v>6</v>
          </cell>
        </row>
        <row r="13">
          <cell r="A13" t="str">
            <v>Камчатский край</v>
          </cell>
          <cell r="B13">
            <v>5884</v>
          </cell>
          <cell r="J13">
            <v>37862.142857142855</v>
          </cell>
          <cell r="K13">
            <v>4</v>
          </cell>
        </row>
        <row r="14">
          <cell r="A14" t="str">
            <v>г. Севастополь</v>
          </cell>
          <cell r="B14">
            <v>6104</v>
          </cell>
          <cell r="J14">
            <v>46113.28571428571</v>
          </cell>
          <cell r="K14">
            <v>4</v>
          </cell>
        </row>
        <row r="15">
          <cell r="A15" t="str">
            <v>Кабардино-Балкарская Респ.</v>
          </cell>
          <cell r="B15">
            <v>7423</v>
          </cell>
          <cell r="J15">
            <v>54364.428571428565</v>
          </cell>
          <cell r="K15">
            <v>4</v>
          </cell>
        </row>
        <row r="16">
          <cell r="A16" t="str">
            <v>Республика Марий Эл</v>
          </cell>
          <cell r="B16">
            <v>7597</v>
          </cell>
        </row>
        <row r="17">
          <cell r="A17" t="str">
            <v>Ямало-Ненецкий АО</v>
          </cell>
          <cell r="B17">
            <v>7630</v>
          </cell>
        </row>
        <row r="18">
          <cell r="A18" t="str">
            <v>Республика Сев. Осетия-Алания</v>
          </cell>
          <cell r="B18">
            <v>8075</v>
          </cell>
        </row>
        <row r="19">
          <cell r="A19" t="str">
            <v>Республика Мордовия</v>
          </cell>
          <cell r="B19">
            <v>8258</v>
          </cell>
        </row>
        <row r="20">
          <cell r="A20" t="str">
            <v>Республика Тыва</v>
          </cell>
          <cell r="B20">
            <v>8546</v>
          </cell>
        </row>
        <row r="21">
          <cell r="A21" t="str">
            <v>Орловская область</v>
          </cell>
          <cell r="B21">
            <v>8555</v>
          </cell>
        </row>
        <row r="22">
          <cell r="A22" t="str">
            <v>Сахалинская область</v>
          </cell>
          <cell r="B22">
            <v>8988</v>
          </cell>
        </row>
        <row r="23">
          <cell r="A23" t="str">
            <v>Псковская область</v>
          </cell>
          <cell r="B23">
            <v>9031</v>
          </cell>
        </row>
        <row r="24">
          <cell r="A24" t="str">
            <v>Костромская область</v>
          </cell>
          <cell r="B24">
            <v>9114</v>
          </cell>
        </row>
        <row r="25">
          <cell r="A25" t="str">
            <v>Рязанская область</v>
          </cell>
          <cell r="B25">
            <v>10023</v>
          </cell>
        </row>
        <row r="26">
          <cell r="A26" t="str">
            <v>Республика Хакасия</v>
          </cell>
          <cell r="B26">
            <v>10839</v>
          </cell>
        </row>
        <row r="27">
          <cell r="A27" t="str">
            <v>Новгородская  область</v>
          </cell>
          <cell r="B27">
            <v>11318</v>
          </cell>
        </row>
        <row r="28">
          <cell r="A28" t="str">
            <v>Республика Саха (Якутия)</v>
          </cell>
          <cell r="B28">
            <v>12146</v>
          </cell>
        </row>
        <row r="29">
          <cell r="A29" t="str">
            <v>Мурманская область</v>
          </cell>
          <cell r="B29">
            <v>12228</v>
          </cell>
        </row>
        <row r="30">
          <cell r="A30" t="str">
            <v>Ульяновская область</v>
          </cell>
          <cell r="B30">
            <v>12724</v>
          </cell>
        </row>
        <row r="31">
          <cell r="A31" t="str">
            <v>Тульская область</v>
          </cell>
          <cell r="B31">
            <v>13028</v>
          </cell>
        </row>
        <row r="32">
          <cell r="A32" t="str">
            <v>Чувашская Республика</v>
          </cell>
          <cell r="B32">
            <v>13048</v>
          </cell>
        </row>
        <row r="33">
          <cell r="A33" t="str">
            <v>Липецкая область</v>
          </cell>
          <cell r="B33">
            <v>13234</v>
          </cell>
        </row>
        <row r="34">
          <cell r="A34" t="str">
            <v>Тамбовская область</v>
          </cell>
          <cell r="B34">
            <v>13253</v>
          </cell>
        </row>
        <row r="35">
          <cell r="A35" t="str">
            <v>Республика Карелия</v>
          </cell>
          <cell r="B35">
            <v>13449</v>
          </cell>
        </row>
        <row r="36">
          <cell r="A36" t="str">
            <v>Пензенская область</v>
          </cell>
          <cell r="B36">
            <v>13520</v>
          </cell>
        </row>
        <row r="37">
          <cell r="A37" t="str">
            <v>Калининградская область</v>
          </cell>
          <cell r="B37">
            <v>13573</v>
          </cell>
        </row>
        <row r="38">
          <cell r="A38" t="str">
            <v>Ивановская область</v>
          </cell>
          <cell r="B38">
            <v>13752</v>
          </cell>
        </row>
        <row r="39">
          <cell r="A39" t="str">
            <v>Курская область</v>
          </cell>
          <cell r="B39">
            <v>13903</v>
          </cell>
        </row>
        <row r="40">
          <cell r="A40" t="str">
            <v>Астраханская область</v>
          </cell>
          <cell r="B40">
            <v>14059</v>
          </cell>
        </row>
        <row r="41">
          <cell r="A41" t="str">
            <v>Республика Дагестан</v>
          </cell>
          <cell r="B41">
            <v>14143</v>
          </cell>
        </row>
        <row r="42">
          <cell r="A42" t="str">
            <v>Белгородская область</v>
          </cell>
          <cell r="B42">
            <v>14341</v>
          </cell>
        </row>
        <row r="43">
          <cell r="A43" t="str">
            <v>Смоленская область</v>
          </cell>
          <cell r="B43">
            <v>14767</v>
          </cell>
        </row>
        <row r="44">
          <cell r="A44" t="str">
            <v>Брянская область</v>
          </cell>
          <cell r="B44">
            <v>15178</v>
          </cell>
        </row>
        <row r="45">
          <cell r="A45" t="str">
            <v>Курганская область</v>
          </cell>
          <cell r="B45">
            <v>15656</v>
          </cell>
        </row>
        <row r="46">
          <cell r="A46" t="str">
            <v>Ярославская область</v>
          </cell>
          <cell r="B46">
            <v>16088</v>
          </cell>
        </row>
        <row r="47">
          <cell r="A47" t="str">
            <v>Республика Коми</v>
          </cell>
          <cell r="B47">
            <v>17204</v>
          </cell>
        </row>
        <row r="48">
          <cell r="A48" t="str">
            <v>Калужская область</v>
          </cell>
          <cell r="B48">
            <v>17209</v>
          </cell>
        </row>
        <row r="49">
          <cell r="A49" t="str">
            <v>Вологодская область</v>
          </cell>
          <cell r="B49">
            <v>17314</v>
          </cell>
        </row>
        <row r="50">
          <cell r="A50" t="str">
            <v>Владимирская область</v>
          </cell>
          <cell r="B50">
            <v>17371</v>
          </cell>
        </row>
        <row r="51">
          <cell r="A51" t="str">
            <v>Томская область</v>
          </cell>
          <cell r="B51">
            <v>17392</v>
          </cell>
        </row>
        <row r="52">
          <cell r="A52" t="str">
            <v>Амурская область</v>
          </cell>
          <cell r="B52">
            <v>18422</v>
          </cell>
        </row>
        <row r="53">
          <cell r="A53" t="str">
            <v>Кировская область</v>
          </cell>
          <cell r="B53">
            <v>18921</v>
          </cell>
        </row>
        <row r="54">
          <cell r="A54" t="str">
            <v>Архангельская область</v>
          </cell>
          <cell r="B54">
            <v>19074</v>
          </cell>
        </row>
        <row r="55">
          <cell r="A55" t="str">
            <v>Республика Бурятия</v>
          </cell>
          <cell r="B55">
            <v>20639</v>
          </cell>
        </row>
        <row r="56">
          <cell r="A56" t="str">
            <v>Ханты-Мансийский АО</v>
          </cell>
          <cell r="B56">
            <v>20977</v>
          </cell>
        </row>
        <row r="57">
          <cell r="A57" t="str">
            <v>Республика Крым</v>
          </cell>
          <cell r="B57">
            <v>21682</v>
          </cell>
        </row>
        <row r="58">
          <cell r="A58" t="str">
            <v>Тверская область</v>
          </cell>
          <cell r="B58">
            <v>21721</v>
          </cell>
        </row>
        <row r="59">
          <cell r="A59" t="str">
            <v>Хабаровский край</v>
          </cell>
          <cell r="B59">
            <v>22695</v>
          </cell>
        </row>
        <row r="60">
          <cell r="A60" t="str">
            <v>Забайкальский край</v>
          </cell>
          <cell r="B60">
            <v>22703</v>
          </cell>
        </row>
        <row r="61">
          <cell r="A61" t="str">
            <v>Омская область</v>
          </cell>
          <cell r="B61">
            <v>24493</v>
          </cell>
        </row>
        <row r="62">
          <cell r="A62" t="str">
            <v>Тюменская область</v>
          </cell>
          <cell r="B62">
            <v>24757</v>
          </cell>
        </row>
        <row r="63">
          <cell r="A63" t="str">
            <v>Ленинградская область</v>
          </cell>
          <cell r="B63">
            <v>27427</v>
          </cell>
        </row>
        <row r="64">
          <cell r="A64" t="str">
            <v>Оренбургская область</v>
          </cell>
          <cell r="B64">
            <v>27483</v>
          </cell>
        </row>
        <row r="65">
          <cell r="A65" t="str">
            <v xml:space="preserve">Удмуртская Республика </v>
          </cell>
          <cell r="B65">
            <v>28075</v>
          </cell>
        </row>
        <row r="66">
          <cell r="A66" t="str">
            <v>Воронежская область</v>
          </cell>
          <cell r="B66">
            <v>29530</v>
          </cell>
        </row>
        <row r="67">
          <cell r="A67" t="str">
            <v>Саратовская область</v>
          </cell>
          <cell r="B67">
            <v>30563</v>
          </cell>
        </row>
        <row r="68">
          <cell r="A68" t="str">
            <v>Приморский край</v>
          </cell>
          <cell r="B68">
            <v>32336</v>
          </cell>
        </row>
        <row r="69">
          <cell r="A69" t="str">
            <v>Ставропольский край</v>
          </cell>
          <cell r="B69">
            <v>35177</v>
          </cell>
        </row>
        <row r="70">
          <cell r="A70" t="str">
            <v>Волгоградская область</v>
          </cell>
          <cell r="B70">
            <v>38687</v>
          </cell>
        </row>
        <row r="71">
          <cell r="A71" t="str">
            <v>Алтайский край</v>
          </cell>
          <cell r="B71">
            <v>39029</v>
          </cell>
        </row>
        <row r="72">
          <cell r="A72" t="str">
            <v>Пермский край</v>
          </cell>
          <cell r="B72">
            <v>39694</v>
          </cell>
        </row>
        <row r="73">
          <cell r="A73" t="str">
            <v>Иркутская область</v>
          </cell>
          <cell r="B73">
            <v>42174</v>
          </cell>
        </row>
        <row r="74">
          <cell r="A74" t="str">
            <v>Нижегородская область</v>
          </cell>
          <cell r="B74">
            <v>42337</v>
          </cell>
        </row>
        <row r="75">
          <cell r="A75" t="str">
            <v>Самарская область</v>
          </cell>
          <cell r="B75">
            <v>44332</v>
          </cell>
        </row>
        <row r="76">
          <cell r="A76" t="str">
            <v>Красноярский край</v>
          </cell>
          <cell r="B76">
            <v>48152</v>
          </cell>
        </row>
        <row r="77">
          <cell r="A77" t="str">
            <v>Кемеровская область-Кузбасс</v>
          </cell>
          <cell r="B77">
            <v>51730</v>
          </cell>
        </row>
        <row r="78">
          <cell r="A78" t="str">
            <v>Республика Татарстан</v>
          </cell>
          <cell r="B78">
            <v>53856</v>
          </cell>
        </row>
        <row r="79">
          <cell r="A79" t="str">
            <v>Новосибирская область</v>
          </cell>
          <cell r="B79">
            <v>54013</v>
          </cell>
        </row>
        <row r="80">
          <cell r="A80" t="str">
            <v>Республика Башкортостан</v>
          </cell>
          <cell r="B80">
            <v>55883</v>
          </cell>
        </row>
        <row r="81">
          <cell r="A81" t="str">
            <v>Свердловская область</v>
          </cell>
          <cell r="B81">
            <v>58490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2FDE3-0C8E-4D27-919C-E20FFBCE8E9E}" name="Table_1" displayName="Table_1" ref="Z149:AC157">
  <tableColumns count="4">
    <tableColumn id="1" xr3:uid="{4B73E8FF-9BCB-40CF-BB0F-DE4AEB611B85}" name="-"/>
    <tableColumn id="2" xr3:uid="{E3A97413-97DC-4F8D-9B77-8F1AF8FC1605}" name="Исходные данные"/>
    <tableColumn id="3" xr3:uid="{2E295F45-8CD8-4CDE-A787-C9D4853EB7B7}" name="Интервальный ряд"/>
    <tableColumn id="4" xr3:uid="{E3EBE6E2-3E64-460C-8171-58015E0CCB88}" name="Эмпирические соотношения"/>
  </tableColumns>
  <tableStyleInfo name="Иванов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crimestat.ru/offenses_tabl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imestat.ru/offenses_table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2"/>
  <sheetViews>
    <sheetView topLeftCell="A58" zoomScale="85" zoomScaleNormal="100" workbookViewId="0">
      <selection activeCell="B10" sqref="B10"/>
    </sheetView>
  </sheetViews>
  <sheetFormatPr defaultColWidth="14.44140625" defaultRowHeight="15" customHeight="1" x14ac:dyDescent="0.3"/>
  <cols>
    <col min="1" max="1" width="8.88671875" style="59" customWidth="1"/>
    <col min="2" max="2" width="28.6640625" customWidth="1"/>
    <col min="3" max="4" width="22.109375" customWidth="1"/>
    <col min="5" max="6" width="13.33203125" customWidth="1"/>
    <col min="7" max="7" width="31" customWidth="1"/>
    <col min="8" max="8" width="13.33203125" customWidth="1"/>
    <col min="9" max="9" width="29.6640625" customWidth="1"/>
    <col min="10" max="25" width="13.33203125" customWidth="1"/>
    <col min="26" max="26" width="8.6640625" customWidth="1"/>
    <col min="27" max="27" width="13.88671875" customWidth="1"/>
    <col min="28" max="28" width="41.88671875" customWidth="1"/>
  </cols>
  <sheetData>
    <row r="1" spans="1:28" s="57" customFormat="1" ht="15" customHeight="1" thickBot="1" x14ac:dyDescent="0.35">
      <c r="A1" s="59"/>
    </row>
    <row r="2" spans="1:28" ht="30.75" customHeight="1" x14ac:dyDescent="0.3">
      <c r="A2" s="165" t="s">
        <v>151</v>
      </c>
      <c r="B2" s="167" t="s">
        <v>0</v>
      </c>
      <c r="C2" s="158" t="s">
        <v>1</v>
      </c>
      <c r="D2" s="149" t="s">
        <v>2</v>
      </c>
      <c r="L2" s="162"/>
      <c r="M2" s="163"/>
      <c r="N2" s="162"/>
      <c r="O2" s="163"/>
      <c r="P2" s="162"/>
      <c r="Q2" s="163"/>
      <c r="R2" s="164"/>
      <c r="S2" s="163"/>
      <c r="T2" s="162"/>
      <c r="U2" s="163"/>
      <c r="V2" s="162"/>
      <c r="W2" s="163"/>
      <c r="X2" s="162"/>
      <c r="Y2" s="163"/>
    </row>
    <row r="3" spans="1:28" thickBot="1" x14ac:dyDescent="0.35">
      <c r="A3" s="166"/>
      <c r="B3" s="168"/>
      <c r="C3" s="159" t="s">
        <v>3</v>
      </c>
      <c r="D3" s="150" t="s">
        <v>3</v>
      </c>
      <c r="AA3" s="1" t="s">
        <v>4</v>
      </c>
      <c r="AB3" s="1" t="s">
        <v>5</v>
      </c>
    </row>
    <row r="4" spans="1:28" ht="14.4" x14ac:dyDescent="0.3">
      <c r="A4" s="157">
        <v>1</v>
      </c>
      <c r="B4" s="147" t="s">
        <v>6</v>
      </c>
      <c r="C4" s="3">
        <v>39029</v>
      </c>
      <c r="D4" s="152">
        <v>39070</v>
      </c>
      <c r="F4" s="5"/>
      <c r="I4" s="6"/>
      <c r="K4" s="5"/>
      <c r="M4" s="5"/>
      <c r="O4" s="5"/>
      <c r="Q4" s="5"/>
      <c r="S4" s="5"/>
      <c r="U4" s="5"/>
      <c r="W4" s="5"/>
      <c r="Y4" s="5"/>
    </row>
    <row r="5" spans="1:28" ht="14.4" x14ac:dyDescent="0.3">
      <c r="A5" s="151">
        <v>2</v>
      </c>
      <c r="B5" s="148" t="s">
        <v>7</v>
      </c>
      <c r="C5" s="1">
        <v>18422</v>
      </c>
      <c r="D5" s="153">
        <v>18231</v>
      </c>
      <c r="K5" s="5"/>
      <c r="M5" s="5"/>
      <c r="O5" s="5"/>
      <c r="Q5" s="5"/>
      <c r="S5" s="5"/>
      <c r="U5" s="5"/>
      <c r="W5" s="5"/>
      <c r="Y5" s="5"/>
    </row>
    <row r="6" spans="1:28" ht="14.4" x14ac:dyDescent="0.3">
      <c r="A6" s="151">
        <v>3</v>
      </c>
      <c r="B6" s="148" t="s">
        <v>8</v>
      </c>
      <c r="C6" s="1">
        <v>19074</v>
      </c>
      <c r="D6" s="153">
        <v>16996</v>
      </c>
      <c r="F6" s="5"/>
      <c r="I6" s="6"/>
      <c r="K6" s="5"/>
      <c r="M6" s="5"/>
      <c r="O6" s="5"/>
      <c r="Q6" s="5"/>
      <c r="S6" s="5"/>
      <c r="U6" s="5"/>
      <c r="W6" s="5"/>
      <c r="Y6" s="5"/>
    </row>
    <row r="7" spans="1:28" ht="14.4" x14ac:dyDescent="0.3">
      <c r="A7" s="151">
        <v>4</v>
      </c>
      <c r="B7" s="148" t="s">
        <v>9</v>
      </c>
      <c r="C7" s="1">
        <v>14059</v>
      </c>
      <c r="D7" s="153">
        <v>13801</v>
      </c>
      <c r="F7" s="5"/>
      <c r="I7" s="6"/>
      <c r="K7" s="5"/>
      <c r="M7" s="5"/>
      <c r="O7" s="5"/>
      <c r="Q7" s="5"/>
      <c r="S7" s="5"/>
      <c r="U7" s="5"/>
      <c r="W7" s="5"/>
      <c r="Y7" s="5"/>
    </row>
    <row r="8" spans="1:28" ht="14.4" x14ac:dyDescent="0.3">
      <c r="A8" s="151">
        <v>5</v>
      </c>
      <c r="B8" s="148" t="s">
        <v>10</v>
      </c>
      <c r="C8" s="1">
        <v>14341</v>
      </c>
      <c r="D8" s="153">
        <v>14067</v>
      </c>
      <c r="F8" s="5"/>
      <c r="I8" s="6"/>
      <c r="K8" s="5"/>
      <c r="M8" s="5"/>
      <c r="O8" s="5"/>
      <c r="Q8" s="5"/>
      <c r="S8" s="5"/>
      <c r="U8" s="5"/>
      <c r="W8" s="5"/>
      <c r="Y8" s="5"/>
    </row>
    <row r="9" spans="1:28" ht="14.4" x14ac:dyDescent="0.3">
      <c r="A9" s="151">
        <v>6</v>
      </c>
      <c r="B9" s="148" t="s">
        <v>11</v>
      </c>
      <c r="C9" s="1">
        <v>15178</v>
      </c>
      <c r="D9" s="153">
        <v>14202</v>
      </c>
      <c r="F9" s="5"/>
      <c r="I9" s="6"/>
      <c r="K9" s="5"/>
      <c r="M9" s="5"/>
      <c r="O9" s="5"/>
      <c r="Q9" s="5"/>
      <c r="S9" s="5"/>
      <c r="U9" s="5"/>
      <c r="W9" s="5"/>
      <c r="Y9" s="5"/>
    </row>
    <row r="10" spans="1:28" ht="14.4" x14ac:dyDescent="0.3">
      <c r="A10" s="151">
        <v>7</v>
      </c>
      <c r="B10" s="148" t="s">
        <v>12</v>
      </c>
      <c r="C10" s="1">
        <v>17371</v>
      </c>
      <c r="D10" s="153">
        <v>16248</v>
      </c>
      <c r="F10" s="5"/>
      <c r="I10" s="6"/>
      <c r="K10" s="5"/>
      <c r="M10" s="5"/>
      <c r="O10" s="5"/>
      <c r="Q10" s="5"/>
      <c r="S10" s="5"/>
      <c r="U10" s="5"/>
      <c r="W10" s="5"/>
      <c r="Y10" s="5"/>
    </row>
    <row r="11" spans="1:28" ht="14.4" x14ac:dyDescent="0.3">
      <c r="A11" s="151">
        <v>8</v>
      </c>
      <c r="B11" s="148" t="s">
        <v>13</v>
      </c>
      <c r="C11" s="1">
        <v>38687</v>
      </c>
      <c r="D11" s="153">
        <v>37910</v>
      </c>
      <c r="F11" s="5"/>
      <c r="I11" s="6"/>
      <c r="K11" s="5"/>
      <c r="M11" s="5"/>
      <c r="O11" s="5"/>
      <c r="Q11" s="5"/>
      <c r="S11" s="5"/>
      <c r="U11" s="5"/>
      <c r="W11" s="5"/>
      <c r="Y11" s="5"/>
    </row>
    <row r="12" spans="1:28" ht="14.4" x14ac:dyDescent="0.3">
      <c r="A12" s="151">
        <v>9</v>
      </c>
      <c r="B12" s="148" t="s">
        <v>14</v>
      </c>
      <c r="C12" s="1">
        <v>17314</v>
      </c>
      <c r="D12" s="153">
        <v>17775</v>
      </c>
      <c r="F12" s="5"/>
      <c r="I12" s="6"/>
      <c r="K12" s="5"/>
      <c r="M12" s="5"/>
      <c r="O12" s="5"/>
      <c r="Q12" s="5"/>
      <c r="S12" s="5"/>
      <c r="U12" s="5"/>
      <c r="W12" s="5"/>
      <c r="Y12" s="5"/>
    </row>
    <row r="13" spans="1:28" ht="14.4" x14ac:dyDescent="0.3">
      <c r="A13" s="151">
        <v>10</v>
      </c>
      <c r="B13" s="148" t="s">
        <v>15</v>
      </c>
      <c r="C13" s="1">
        <v>29530</v>
      </c>
      <c r="D13" s="153">
        <v>29552</v>
      </c>
      <c r="F13" s="5"/>
      <c r="I13" s="6"/>
      <c r="K13" s="5"/>
      <c r="M13" s="5"/>
      <c r="O13" s="5"/>
      <c r="Q13" s="5"/>
      <c r="S13" s="5"/>
      <c r="U13" s="5"/>
      <c r="W13" s="5"/>
      <c r="Y13" s="5"/>
    </row>
    <row r="14" spans="1:28" ht="14.4" x14ac:dyDescent="0.3">
      <c r="A14" s="151">
        <v>11</v>
      </c>
      <c r="B14" s="148" t="s">
        <v>16</v>
      </c>
      <c r="C14" s="1">
        <v>3693</v>
      </c>
      <c r="D14" s="153">
        <v>3323</v>
      </c>
      <c r="F14" s="5"/>
      <c r="I14" s="6"/>
      <c r="K14" s="5"/>
      <c r="M14" s="5"/>
      <c r="O14" s="5"/>
      <c r="Q14" s="5"/>
      <c r="S14" s="5"/>
      <c r="U14" s="5"/>
      <c r="W14" s="5"/>
      <c r="Y14" s="5"/>
    </row>
    <row r="15" spans="1:28" ht="14.4" x14ac:dyDescent="0.3">
      <c r="A15" s="151">
        <v>12</v>
      </c>
      <c r="B15" s="148" t="s">
        <v>17</v>
      </c>
      <c r="C15" s="1">
        <v>22703</v>
      </c>
      <c r="D15" s="153">
        <v>21707</v>
      </c>
      <c r="F15" s="5"/>
      <c r="I15" s="6"/>
      <c r="K15" s="5"/>
      <c r="M15" s="5"/>
      <c r="O15" s="5"/>
      <c r="Q15" s="5"/>
      <c r="S15" s="5"/>
      <c r="U15" s="5"/>
      <c r="W15" s="5"/>
      <c r="Y15" s="5"/>
    </row>
    <row r="16" spans="1:28" ht="14.4" x14ac:dyDescent="0.3">
      <c r="A16" s="151">
        <v>13</v>
      </c>
      <c r="B16" s="148" t="s">
        <v>18</v>
      </c>
      <c r="C16" s="1">
        <v>13752</v>
      </c>
      <c r="D16" s="153">
        <v>12064</v>
      </c>
      <c r="F16" s="5"/>
      <c r="I16" s="6"/>
      <c r="K16" s="5"/>
      <c r="M16" s="5"/>
      <c r="O16" s="5"/>
      <c r="Q16" s="5"/>
      <c r="S16" s="5"/>
      <c r="U16" s="5"/>
      <c r="W16" s="5"/>
      <c r="Y16" s="5"/>
    </row>
    <row r="17" spans="1:25" ht="14.4" x14ac:dyDescent="0.3">
      <c r="A17" s="151">
        <v>14</v>
      </c>
      <c r="B17" s="148" t="s">
        <v>19</v>
      </c>
      <c r="C17" s="1">
        <v>42174</v>
      </c>
      <c r="D17" s="153">
        <v>39363</v>
      </c>
      <c r="F17" s="5"/>
      <c r="I17" s="6"/>
      <c r="K17" s="5"/>
      <c r="M17" s="5"/>
      <c r="O17" s="5"/>
      <c r="Q17" s="5"/>
      <c r="S17" s="5"/>
      <c r="U17" s="5"/>
      <c r="W17" s="5"/>
      <c r="Y17" s="5"/>
    </row>
    <row r="18" spans="1:25" ht="14.4" x14ac:dyDescent="0.3">
      <c r="A18" s="151">
        <v>15</v>
      </c>
      <c r="B18" s="148" t="s">
        <v>20</v>
      </c>
      <c r="C18" s="1">
        <v>7423</v>
      </c>
      <c r="D18" s="153">
        <v>7557</v>
      </c>
      <c r="F18" s="5"/>
      <c r="I18" s="6"/>
      <c r="K18" s="5"/>
      <c r="M18" s="5"/>
      <c r="O18" s="5"/>
      <c r="Q18" s="5"/>
      <c r="S18" s="5"/>
      <c r="U18" s="5"/>
      <c r="W18" s="5"/>
      <c r="Y18" s="5"/>
    </row>
    <row r="19" spans="1:25" ht="14.4" x14ac:dyDescent="0.3">
      <c r="A19" s="151">
        <v>16</v>
      </c>
      <c r="B19" s="148" t="s">
        <v>21</v>
      </c>
      <c r="C19" s="1">
        <v>13573</v>
      </c>
      <c r="D19" s="153">
        <v>13269</v>
      </c>
      <c r="F19" s="5"/>
      <c r="I19" s="6"/>
      <c r="K19" s="5"/>
      <c r="M19" s="5"/>
      <c r="O19" s="5"/>
      <c r="Q19" s="5"/>
      <c r="S19" s="5"/>
      <c r="U19" s="5"/>
      <c r="W19" s="5"/>
      <c r="Y19" s="5"/>
    </row>
    <row r="20" spans="1:25" ht="14.4" x14ac:dyDescent="0.3">
      <c r="A20" s="151">
        <v>17</v>
      </c>
      <c r="B20" s="148" t="s">
        <v>22</v>
      </c>
      <c r="C20" s="1">
        <v>17209</v>
      </c>
      <c r="D20" s="153">
        <v>15961</v>
      </c>
      <c r="F20" s="5"/>
      <c r="I20" s="6"/>
      <c r="K20" s="5"/>
      <c r="M20" s="5"/>
      <c r="O20" s="5"/>
      <c r="Q20" s="5"/>
      <c r="S20" s="5"/>
      <c r="U20" s="5"/>
      <c r="W20" s="5"/>
      <c r="Y20" s="5"/>
    </row>
    <row r="21" spans="1:25" ht="15.75" customHeight="1" x14ac:dyDescent="0.3">
      <c r="A21" s="151">
        <v>18</v>
      </c>
      <c r="B21" s="148" t="s">
        <v>23</v>
      </c>
      <c r="C21" s="1">
        <v>5884</v>
      </c>
      <c r="D21" s="153">
        <v>5909</v>
      </c>
      <c r="F21" s="5"/>
      <c r="I21" s="6"/>
      <c r="K21" s="5"/>
      <c r="M21" s="5"/>
      <c r="O21" s="5"/>
      <c r="Q21" s="5"/>
      <c r="S21" s="5"/>
      <c r="U21" s="5"/>
      <c r="W21" s="5"/>
      <c r="Y21" s="5"/>
    </row>
    <row r="22" spans="1:25" ht="15.75" customHeight="1" x14ac:dyDescent="0.3">
      <c r="A22" s="151">
        <v>19</v>
      </c>
      <c r="B22" s="148" t="s">
        <v>24</v>
      </c>
      <c r="C22" s="1">
        <v>4667</v>
      </c>
      <c r="D22" s="153">
        <v>4345</v>
      </c>
      <c r="F22" s="5"/>
      <c r="I22" s="6"/>
      <c r="K22" s="5"/>
      <c r="M22" s="5"/>
      <c r="O22" s="5"/>
      <c r="Q22" s="5"/>
      <c r="S22" s="5"/>
      <c r="U22" s="5"/>
      <c r="W22" s="5"/>
      <c r="Y22" s="5"/>
    </row>
    <row r="23" spans="1:25" ht="15.75" customHeight="1" x14ac:dyDescent="0.3">
      <c r="A23" s="151">
        <v>20</v>
      </c>
      <c r="B23" s="148" t="s">
        <v>25</v>
      </c>
      <c r="C23" s="1">
        <v>51730</v>
      </c>
      <c r="D23" s="153">
        <v>50465</v>
      </c>
      <c r="F23" s="5"/>
      <c r="I23" s="6"/>
      <c r="K23" s="5"/>
      <c r="M23" s="5"/>
      <c r="O23" s="5"/>
      <c r="Q23" s="5"/>
      <c r="S23" s="5"/>
      <c r="U23" s="5"/>
      <c r="W23" s="5"/>
      <c r="Y23" s="5"/>
    </row>
    <row r="24" spans="1:25" ht="15.75" customHeight="1" x14ac:dyDescent="0.3">
      <c r="A24" s="151">
        <v>21</v>
      </c>
      <c r="B24" s="148" t="s">
        <v>26</v>
      </c>
      <c r="C24" s="1">
        <v>18921</v>
      </c>
      <c r="D24" s="153">
        <v>19034</v>
      </c>
      <c r="F24" s="5"/>
      <c r="I24" s="6"/>
      <c r="K24" s="5"/>
      <c r="M24" s="5"/>
      <c r="O24" s="5"/>
      <c r="Q24" s="5"/>
      <c r="S24" s="5"/>
      <c r="U24" s="5"/>
      <c r="W24" s="5"/>
      <c r="Y24" s="5"/>
    </row>
    <row r="25" spans="1:25" ht="15.75" customHeight="1" x14ac:dyDescent="0.3">
      <c r="A25" s="151">
        <v>22</v>
      </c>
      <c r="B25" s="148" t="s">
        <v>27</v>
      </c>
      <c r="C25" s="1">
        <v>9114</v>
      </c>
      <c r="D25" s="153">
        <v>8927</v>
      </c>
      <c r="F25" s="5"/>
      <c r="I25" s="6"/>
      <c r="K25" s="5"/>
      <c r="M25" s="5"/>
      <c r="O25" s="5"/>
      <c r="Q25" s="5"/>
      <c r="S25" s="5"/>
      <c r="U25" s="5"/>
      <c r="W25" s="5"/>
      <c r="Y25" s="5"/>
    </row>
    <row r="26" spans="1:25" ht="15.75" customHeight="1" x14ac:dyDescent="0.3">
      <c r="A26" s="151">
        <v>23</v>
      </c>
      <c r="B26" s="148" t="s">
        <v>28</v>
      </c>
      <c r="C26" s="1">
        <v>73519</v>
      </c>
      <c r="D26" s="153">
        <v>78183</v>
      </c>
      <c r="F26" s="5"/>
      <c r="I26" s="6"/>
      <c r="K26" s="5"/>
      <c r="M26" s="5"/>
      <c r="O26" s="5"/>
      <c r="Q26" s="5"/>
      <c r="S26" s="5"/>
      <c r="U26" s="5"/>
      <c r="W26" s="5"/>
      <c r="Y26" s="5"/>
    </row>
    <row r="27" spans="1:25" ht="15.75" customHeight="1" x14ac:dyDescent="0.3">
      <c r="A27" s="151">
        <v>24</v>
      </c>
      <c r="B27" s="148" t="s">
        <v>29</v>
      </c>
      <c r="C27" s="1">
        <v>48152</v>
      </c>
      <c r="D27" s="153">
        <v>47027</v>
      </c>
      <c r="F27" s="5"/>
      <c r="I27" s="6"/>
      <c r="K27" s="5"/>
      <c r="M27" s="5"/>
      <c r="O27" s="5"/>
      <c r="Q27" s="5"/>
      <c r="S27" s="5"/>
      <c r="U27" s="5"/>
      <c r="W27" s="5"/>
      <c r="Y27" s="5"/>
    </row>
    <row r="28" spans="1:25" ht="15.75" customHeight="1" x14ac:dyDescent="0.3">
      <c r="A28" s="151">
        <v>25</v>
      </c>
      <c r="B28" s="148" t="s">
        <v>30</v>
      </c>
      <c r="C28" s="1">
        <v>15656</v>
      </c>
      <c r="D28" s="153">
        <v>14765</v>
      </c>
      <c r="F28" s="5"/>
      <c r="I28" s="6"/>
      <c r="K28" s="5"/>
      <c r="M28" s="5"/>
      <c r="O28" s="5"/>
      <c r="Q28" s="5"/>
      <c r="S28" s="5"/>
      <c r="U28" s="5"/>
      <c r="W28" s="5"/>
      <c r="Y28" s="5"/>
    </row>
    <row r="29" spans="1:25" ht="15.75" customHeight="1" x14ac:dyDescent="0.3">
      <c r="A29" s="151">
        <v>26</v>
      </c>
      <c r="B29" s="148" t="s">
        <v>31</v>
      </c>
      <c r="C29" s="1">
        <v>13903</v>
      </c>
      <c r="D29" s="153">
        <v>13538</v>
      </c>
      <c r="F29" s="5"/>
      <c r="I29" s="6"/>
      <c r="K29" s="5"/>
      <c r="M29" s="5"/>
      <c r="O29" s="5"/>
      <c r="Q29" s="5"/>
      <c r="S29" s="5"/>
      <c r="U29" s="5"/>
      <c r="W29" s="5"/>
      <c r="Y29" s="5"/>
    </row>
    <row r="30" spans="1:25" ht="15.75" customHeight="1" x14ac:dyDescent="0.3">
      <c r="A30" s="151">
        <v>27</v>
      </c>
      <c r="B30" s="148" t="s">
        <v>32</v>
      </c>
      <c r="C30" s="1">
        <v>27427</v>
      </c>
      <c r="D30" s="153">
        <v>27092</v>
      </c>
      <c r="F30" s="5"/>
      <c r="I30" s="6"/>
      <c r="K30" s="5"/>
      <c r="M30" s="5"/>
      <c r="O30" s="5"/>
      <c r="Q30" s="5"/>
      <c r="S30" s="5"/>
      <c r="U30" s="5"/>
      <c r="W30" s="5"/>
      <c r="Y30" s="5"/>
    </row>
    <row r="31" spans="1:25" ht="15.75" customHeight="1" x14ac:dyDescent="0.3">
      <c r="A31" s="151">
        <v>28</v>
      </c>
      <c r="B31" s="148" t="s">
        <v>33</v>
      </c>
      <c r="C31" s="1">
        <v>13234</v>
      </c>
      <c r="D31" s="153">
        <v>13073</v>
      </c>
      <c r="F31" s="5"/>
      <c r="I31" s="6"/>
      <c r="K31" s="5"/>
      <c r="M31" s="5"/>
      <c r="O31" s="5"/>
      <c r="Q31" s="5"/>
      <c r="S31" s="5"/>
      <c r="U31" s="5"/>
      <c r="W31" s="5"/>
      <c r="Y31" s="5"/>
    </row>
    <row r="32" spans="1:25" ht="15.75" customHeight="1" x14ac:dyDescent="0.3">
      <c r="A32" s="151">
        <v>29</v>
      </c>
      <c r="B32" s="148" t="s">
        <v>34</v>
      </c>
      <c r="C32" s="1">
        <v>2649</v>
      </c>
      <c r="D32" s="153">
        <v>2562</v>
      </c>
      <c r="F32" s="5"/>
      <c r="I32" s="6"/>
      <c r="K32" s="5"/>
      <c r="M32" s="5"/>
      <c r="O32" s="5"/>
      <c r="Q32" s="5"/>
      <c r="S32" s="5"/>
      <c r="U32" s="5"/>
      <c r="W32" s="5"/>
      <c r="Y32" s="5"/>
    </row>
    <row r="33" spans="1:25" ht="15.75" customHeight="1" x14ac:dyDescent="0.3">
      <c r="A33" s="151">
        <v>30</v>
      </c>
      <c r="B33" s="148" t="s">
        <v>35</v>
      </c>
      <c r="C33" s="1">
        <v>73941</v>
      </c>
      <c r="D33" s="153">
        <v>73780</v>
      </c>
      <c r="F33" s="5"/>
      <c r="I33" s="6"/>
      <c r="K33" s="5"/>
      <c r="M33" s="5"/>
      <c r="O33" s="5"/>
      <c r="Q33" s="5"/>
      <c r="S33" s="5"/>
      <c r="U33" s="5"/>
      <c r="W33" s="5"/>
      <c r="Y33" s="5"/>
    </row>
    <row r="34" spans="1:25" ht="15.75" customHeight="1" x14ac:dyDescent="0.3">
      <c r="A34" s="151">
        <v>31</v>
      </c>
      <c r="B34" s="148" t="s">
        <v>36</v>
      </c>
      <c r="C34" s="1">
        <v>12228</v>
      </c>
      <c r="D34" s="153">
        <v>12096</v>
      </c>
      <c r="F34" s="5"/>
      <c r="I34" s="6"/>
      <c r="K34" s="5"/>
      <c r="M34" s="5"/>
      <c r="O34" s="5"/>
      <c r="Q34" s="5"/>
      <c r="S34" s="5"/>
      <c r="U34" s="5"/>
      <c r="W34" s="5"/>
      <c r="Y34" s="5"/>
    </row>
    <row r="35" spans="1:25" ht="15.75" customHeight="1" x14ac:dyDescent="0.3">
      <c r="A35" s="151">
        <v>32</v>
      </c>
      <c r="B35" s="148" t="s">
        <v>37</v>
      </c>
      <c r="C35" s="1">
        <v>732</v>
      </c>
      <c r="D35" s="153">
        <v>852</v>
      </c>
      <c r="F35" s="5"/>
      <c r="I35" s="6"/>
      <c r="K35" s="5"/>
      <c r="M35" s="5"/>
      <c r="O35" s="5"/>
      <c r="Q35" s="5"/>
      <c r="S35" s="5"/>
      <c r="U35" s="5"/>
      <c r="W35" s="5"/>
      <c r="Y35" s="5"/>
    </row>
    <row r="36" spans="1:25" ht="15.75" customHeight="1" x14ac:dyDescent="0.3">
      <c r="A36" s="151">
        <v>33</v>
      </c>
      <c r="B36" s="148" t="s">
        <v>38</v>
      </c>
      <c r="C36" s="1">
        <v>42337</v>
      </c>
      <c r="D36" s="153">
        <v>40530</v>
      </c>
      <c r="F36" s="5"/>
      <c r="I36" s="6"/>
      <c r="K36" s="5"/>
      <c r="M36" s="5"/>
      <c r="O36" s="5"/>
      <c r="Q36" s="5"/>
      <c r="S36" s="5"/>
      <c r="U36" s="5"/>
      <c r="W36" s="5"/>
      <c r="Y36" s="5"/>
    </row>
    <row r="37" spans="1:25" ht="15.75" customHeight="1" x14ac:dyDescent="0.3">
      <c r="A37" s="151">
        <v>34</v>
      </c>
      <c r="B37" s="148" t="s">
        <v>39</v>
      </c>
      <c r="C37" s="1">
        <v>11318</v>
      </c>
      <c r="D37" s="153">
        <v>10630</v>
      </c>
      <c r="F37" s="5"/>
      <c r="I37" s="6"/>
      <c r="K37" s="5"/>
      <c r="M37" s="5"/>
      <c r="O37" s="5"/>
      <c r="Q37" s="5"/>
      <c r="S37" s="5"/>
      <c r="U37" s="5"/>
      <c r="W37" s="5"/>
      <c r="Y37" s="5"/>
    </row>
    <row r="38" spans="1:25" ht="15.75" customHeight="1" x14ac:dyDescent="0.3">
      <c r="A38" s="151">
        <v>35</v>
      </c>
      <c r="B38" s="148" t="s">
        <v>40</v>
      </c>
      <c r="C38" s="1">
        <v>54013</v>
      </c>
      <c r="D38" s="153">
        <v>46463</v>
      </c>
      <c r="F38" s="5"/>
      <c r="I38" s="6"/>
      <c r="K38" s="5"/>
      <c r="M38" s="5"/>
      <c r="O38" s="5"/>
      <c r="Q38" s="5"/>
      <c r="S38" s="5"/>
      <c r="U38" s="5"/>
      <c r="W38" s="5"/>
      <c r="Y38" s="5"/>
    </row>
    <row r="39" spans="1:25" ht="15.75" customHeight="1" x14ac:dyDescent="0.3">
      <c r="A39" s="151">
        <v>36</v>
      </c>
      <c r="B39" s="148" t="s">
        <v>41</v>
      </c>
      <c r="C39" s="1">
        <v>24493</v>
      </c>
      <c r="D39" s="153">
        <v>23825</v>
      </c>
      <c r="F39" s="5"/>
      <c r="I39" s="6"/>
      <c r="K39" s="5"/>
      <c r="M39" s="5"/>
      <c r="O39" s="5"/>
      <c r="Q39" s="5"/>
      <c r="S39" s="5"/>
      <c r="U39" s="5"/>
      <c r="W39" s="5"/>
      <c r="Y39" s="5"/>
    </row>
    <row r="40" spans="1:25" ht="15.75" customHeight="1" x14ac:dyDescent="0.3">
      <c r="A40" s="151">
        <v>37</v>
      </c>
      <c r="B40" s="148" t="s">
        <v>42</v>
      </c>
      <c r="C40" s="1">
        <v>27483</v>
      </c>
      <c r="D40" s="153">
        <v>24989</v>
      </c>
      <c r="F40" s="5"/>
      <c r="I40" s="6"/>
      <c r="K40" s="5"/>
      <c r="M40" s="5"/>
      <c r="O40" s="5"/>
      <c r="Q40" s="5"/>
      <c r="S40" s="5"/>
      <c r="U40" s="5"/>
      <c r="W40" s="5"/>
      <c r="Y40" s="5"/>
    </row>
    <row r="41" spans="1:25" ht="15.75" customHeight="1" x14ac:dyDescent="0.3">
      <c r="A41" s="151">
        <v>38</v>
      </c>
      <c r="B41" s="148" t="s">
        <v>43</v>
      </c>
      <c r="C41" s="1">
        <v>8555</v>
      </c>
      <c r="D41" s="153">
        <v>8151</v>
      </c>
      <c r="F41" s="5"/>
      <c r="I41" s="6"/>
      <c r="K41" s="5"/>
      <c r="M41" s="5"/>
      <c r="O41" s="5"/>
      <c r="Q41" s="5"/>
      <c r="S41" s="5"/>
      <c r="U41" s="5"/>
      <c r="W41" s="5"/>
      <c r="Y41" s="5"/>
    </row>
    <row r="42" spans="1:25" ht="15.75" customHeight="1" x14ac:dyDescent="0.3">
      <c r="A42" s="151">
        <v>39</v>
      </c>
      <c r="B42" s="148" t="s">
        <v>44</v>
      </c>
      <c r="C42" s="1">
        <v>13520</v>
      </c>
      <c r="D42" s="153">
        <v>13470</v>
      </c>
      <c r="F42" s="5"/>
      <c r="I42" s="6"/>
      <c r="K42" s="5"/>
      <c r="M42" s="5"/>
      <c r="O42" s="5"/>
      <c r="Q42" s="5"/>
      <c r="S42" s="5"/>
      <c r="U42" s="5"/>
      <c r="W42" s="5"/>
      <c r="Y42" s="5"/>
    </row>
    <row r="43" spans="1:25" ht="15.75" customHeight="1" x14ac:dyDescent="0.3">
      <c r="A43" s="151">
        <v>40</v>
      </c>
      <c r="B43" s="148" t="s">
        <v>45</v>
      </c>
      <c r="C43" s="1">
        <v>39694</v>
      </c>
      <c r="D43" s="153">
        <v>40594</v>
      </c>
      <c r="F43" s="5"/>
      <c r="I43" s="6"/>
      <c r="K43" s="5"/>
      <c r="M43" s="5"/>
      <c r="O43" s="5"/>
      <c r="Q43" s="5"/>
      <c r="S43" s="5"/>
      <c r="U43" s="5"/>
      <c r="W43" s="5"/>
      <c r="Y43" s="5"/>
    </row>
    <row r="44" spans="1:25" ht="15.75" customHeight="1" x14ac:dyDescent="0.3">
      <c r="A44" s="151">
        <v>41</v>
      </c>
      <c r="B44" s="148" t="s">
        <v>46</v>
      </c>
      <c r="C44" s="1">
        <v>32336</v>
      </c>
      <c r="D44" s="153">
        <v>35098</v>
      </c>
      <c r="F44" s="5"/>
      <c r="I44" s="6"/>
      <c r="K44" s="5"/>
      <c r="M44" s="5"/>
      <c r="O44" s="5"/>
      <c r="Q44" s="5"/>
      <c r="S44" s="5"/>
      <c r="U44" s="5"/>
      <c r="W44" s="5"/>
      <c r="Y44" s="5"/>
    </row>
    <row r="45" spans="1:25" ht="15.75" customHeight="1" x14ac:dyDescent="0.3">
      <c r="A45" s="151">
        <v>42</v>
      </c>
      <c r="B45" s="148" t="s">
        <v>47</v>
      </c>
      <c r="C45" s="1">
        <v>9031</v>
      </c>
      <c r="D45" s="153">
        <v>8377</v>
      </c>
      <c r="F45" s="5"/>
      <c r="I45" s="6"/>
      <c r="K45" s="5"/>
      <c r="M45" s="5"/>
      <c r="O45" s="5"/>
      <c r="Q45" s="5"/>
      <c r="S45" s="5"/>
      <c r="U45" s="5"/>
      <c r="W45" s="5"/>
      <c r="Y45" s="5"/>
    </row>
    <row r="46" spans="1:25" ht="15.75" customHeight="1" x14ac:dyDescent="0.3">
      <c r="A46" s="151">
        <v>43</v>
      </c>
      <c r="B46" s="148" t="s">
        <v>48</v>
      </c>
      <c r="C46" s="1">
        <v>4123</v>
      </c>
      <c r="D46" s="153">
        <v>4496</v>
      </c>
      <c r="F46" s="5"/>
      <c r="I46" s="6"/>
      <c r="K46" s="5"/>
      <c r="M46" s="5"/>
      <c r="O46" s="5"/>
      <c r="Q46" s="5"/>
      <c r="S46" s="5"/>
      <c r="U46" s="5"/>
      <c r="W46" s="5"/>
      <c r="Y46" s="5"/>
    </row>
    <row r="47" spans="1:25" ht="15.75" customHeight="1" x14ac:dyDescent="0.3">
      <c r="A47" s="151">
        <v>44</v>
      </c>
      <c r="B47" s="148" t="s">
        <v>49</v>
      </c>
      <c r="C47" s="1">
        <v>4761</v>
      </c>
      <c r="D47" s="153">
        <v>4762</v>
      </c>
      <c r="F47" s="5"/>
      <c r="I47" s="6"/>
      <c r="K47" s="5"/>
      <c r="M47" s="5"/>
      <c r="O47" s="5"/>
      <c r="Q47" s="5"/>
      <c r="S47" s="5"/>
      <c r="U47" s="5"/>
      <c r="W47" s="5"/>
      <c r="Y47" s="5"/>
    </row>
    <row r="48" spans="1:25" ht="15.75" customHeight="1" x14ac:dyDescent="0.3">
      <c r="A48" s="151">
        <v>45</v>
      </c>
      <c r="B48" s="148" t="s">
        <v>50</v>
      </c>
      <c r="C48" s="1">
        <v>55883</v>
      </c>
      <c r="D48" s="153">
        <v>52437</v>
      </c>
      <c r="F48" s="5"/>
      <c r="I48" s="6"/>
      <c r="K48" s="5"/>
      <c r="M48" s="5"/>
      <c r="O48" s="5"/>
      <c r="Q48" s="5"/>
      <c r="S48" s="5"/>
      <c r="U48" s="5"/>
      <c r="W48" s="5"/>
      <c r="Y48" s="5"/>
    </row>
    <row r="49" spans="1:25" ht="15.75" customHeight="1" x14ac:dyDescent="0.3">
      <c r="A49" s="151">
        <v>46</v>
      </c>
      <c r="B49" s="148" t="s">
        <v>51</v>
      </c>
      <c r="C49" s="1">
        <v>20639</v>
      </c>
      <c r="D49" s="153">
        <v>20770</v>
      </c>
      <c r="F49" s="5"/>
      <c r="I49" s="6"/>
      <c r="K49" s="5"/>
      <c r="M49" s="5"/>
      <c r="O49" s="5"/>
      <c r="Q49" s="5"/>
      <c r="S49" s="5"/>
      <c r="U49" s="5"/>
      <c r="W49" s="5"/>
      <c r="Y49" s="5"/>
    </row>
    <row r="50" spans="1:25" ht="15.75" customHeight="1" x14ac:dyDescent="0.3">
      <c r="A50" s="151">
        <v>47</v>
      </c>
      <c r="B50" s="148" t="s">
        <v>52</v>
      </c>
      <c r="C50" s="1">
        <v>14143</v>
      </c>
      <c r="D50" s="153">
        <v>14852</v>
      </c>
      <c r="F50" s="5"/>
      <c r="I50" s="6"/>
      <c r="K50" s="5"/>
      <c r="M50" s="5"/>
      <c r="O50" s="5"/>
      <c r="Q50" s="5"/>
      <c r="S50" s="5"/>
      <c r="U50" s="5"/>
      <c r="W50" s="5"/>
      <c r="Y50" s="5"/>
    </row>
    <row r="51" spans="1:25" ht="15.75" customHeight="1" x14ac:dyDescent="0.3">
      <c r="A51" s="151">
        <v>48</v>
      </c>
      <c r="B51" s="148" t="s">
        <v>53</v>
      </c>
      <c r="C51" s="1">
        <v>1909</v>
      </c>
      <c r="D51" s="153">
        <v>2103</v>
      </c>
      <c r="F51" s="5"/>
      <c r="I51" s="6"/>
      <c r="K51" s="5"/>
      <c r="M51" s="5"/>
      <c r="O51" s="5"/>
      <c r="Q51" s="5"/>
      <c r="S51" s="5"/>
      <c r="U51" s="5"/>
      <c r="W51" s="5"/>
      <c r="Y51" s="5"/>
    </row>
    <row r="52" spans="1:25" ht="15.75" customHeight="1" x14ac:dyDescent="0.3">
      <c r="A52" s="151">
        <v>49</v>
      </c>
      <c r="B52" s="148" t="s">
        <v>54</v>
      </c>
      <c r="C52" s="1">
        <v>2867</v>
      </c>
      <c r="D52" s="153">
        <v>2940</v>
      </c>
      <c r="F52" s="5"/>
      <c r="I52" s="6"/>
      <c r="K52" s="5"/>
      <c r="M52" s="5"/>
      <c r="O52" s="5"/>
      <c r="Q52" s="5"/>
      <c r="S52" s="5"/>
      <c r="U52" s="5"/>
      <c r="W52" s="5"/>
      <c r="Y52" s="5"/>
    </row>
    <row r="53" spans="1:25" ht="15.75" customHeight="1" x14ac:dyDescent="0.3">
      <c r="A53" s="151">
        <v>50</v>
      </c>
      <c r="B53" s="148" t="s">
        <v>55</v>
      </c>
      <c r="C53" s="1">
        <v>13449</v>
      </c>
      <c r="D53" s="153">
        <v>13670</v>
      </c>
      <c r="F53" s="5"/>
      <c r="I53" s="6"/>
      <c r="K53" s="5"/>
      <c r="M53" s="5"/>
      <c r="O53" s="5"/>
      <c r="Q53" s="5"/>
      <c r="S53" s="5"/>
      <c r="U53" s="5"/>
      <c r="W53" s="5"/>
      <c r="Y53" s="5"/>
    </row>
    <row r="54" spans="1:25" ht="15.75" customHeight="1" x14ac:dyDescent="0.3">
      <c r="A54" s="151">
        <v>51</v>
      </c>
      <c r="B54" s="148" t="s">
        <v>56</v>
      </c>
      <c r="C54" s="1">
        <v>17204</v>
      </c>
      <c r="D54" s="153">
        <v>15026</v>
      </c>
      <c r="F54" s="5"/>
      <c r="I54" s="6"/>
      <c r="K54" s="5"/>
      <c r="M54" s="5"/>
      <c r="O54" s="5"/>
      <c r="Q54" s="5"/>
      <c r="S54" s="5"/>
      <c r="U54" s="5"/>
      <c r="W54" s="5"/>
      <c r="Y54" s="5"/>
    </row>
    <row r="55" spans="1:25" ht="15.75" customHeight="1" x14ac:dyDescent="0.3">
      <c r="A55" s="151">
        <v>52</v>
      </c>
      <c r="B55" s="148" t="s">
        <v>57</v>
      </c>
      <c r="C55" s="1">
        <v>21682</v>
      </c>
      <c r="D55" s="153">
        <v>20727</v>
      </c>
      <c r="F55" s="5"/>
      <c r="I55" s="6"/>
      <c r="K55" s="5"/>
      <c r="M55" s="5"/>
      <c r="O55" s="5"/>
      <c r="Q55" s="5"/>
      <c r="S55" s="5"/>
      <c r="U55" s="5"/>
      <c r="W55" s="5"/>
      <c r="Y55" s="5"/>
    </row>
    <row r="56" spans="1:25" ht="15.75" customHeight="1" x14ac:dyDescent="0.3">
      <c r="A56" s="151">
        <v>53</v>
      </c>
      <c r="B56" s="148" t="s">
        <v>58</v>
      </c>
      <c r="C56" s="1">
        <v>7597</v>
      </c>
      <c r="D56" s="153">
        <v>7656</v>
      </c>
      <c r="F56" s="5"/>
      <c r="I56" s="6"/>
      <c r="K56" s="5"/>
      <c r="M56" s="5"/>
      <c r="O56" s="5"/>
      <c r="Q56" s="5"/>
      <c r="S56" s="5"/>
      <c r="U56" s="5"/>
      <c r="W56" s="5"/>
      <c r="Y56" s="5"/>
    </row>
    <row r="57" spans="1:25" ht="15.75" customHeight="1" x14ac:dyDescent="0.3">
      <c r="A57" s="151">
        <v>54</v>
      </c>
      <c r="B57" s="148" t="s">
        <v>59</v>
      </c>
      <c r="C57" s="1">
        <v>8258</v>
      </c>
      <c r="D57" s="153">
        <v>8533</v>
      </c>
      <c r="F57" s="5"/>
      <c r="I57" s="6"/>
      <c r="K57" s="5"/>
      <c r="M57" s="5"/>
      <c r="O57" s="5"/>
      <c r="Q57" s="5"/>
      <c r="S57" s="5"/>
      <c r="U57" s="5"/>
      <c r="W57" s="5"/>
      <c r="Y57" s="5"/>
    </row>
    <row r="58" spans="1:25" ht="15.75" customHeight="1" x14ac:dyDescent="0.3">
      <c r="A58" s="151">
        <v>55</v>
      </c>
      <c r="B58" s="148" t="s">
        <v>60</v>
      </c>
      <c r="C58" s="1">
        <v>12146</v>
      </c>
      <c r="D58" s="153">
        <v>13005</v>
      </c>
      <c r="F58" s="5"/>
      <c r="I58" s="6"/>
      <c r="K58" s="5"/>
      <c r="M58" s="5"/>
      <c r="O58" s="5"/>
      <c r="Q58" s="5"/>
      <c r="S58" s="5"/>
      <c r="U58" s="5"/>
      <c r="W58" s="5"/>
      <c r="Y58" s="5"/>
    </row>
    <row r="59" spans="1:25" ht="15.75" customHeight="1" x14ac:dyDescent="0.3">
      <c r="A59" s="151">
        <v>56</v>
      </c>
      <c r="B59" s="148" t="s">
        <v>61</v>
      </c>
      <c r="C59" s="1">
        <v>8075</v>
      </c>
      <c r="D59" s="153">
        <v>8152</v>
      </c>
      <c r="F59" s="5"/>
      <c r="I59" s="6"/>
      <c r="K59" s="5"/>
      <c r="M59" s="5"/>
      <c r="O59" s="5"/>
      <c r="Q59" s="5"/>
      <c r="S59" s="5"/>
      <c r="U59" s="5"/>
      <c r="W59" s="5"/>
      <c r="Y59" s="5"/>
    </row>
    <row r="60" spans="1:25" ht="15.75" customHeight="1" x14ac:dyDescent="0.3">
      <c r="A60" s="151">
        <v>57</v>
      </c>
      <c r="B60" s="148" t="s">
        <v>62</v>
      </c>
      <c r="C60" s="1">
        <v>53856</v>
      </c>
      <c r="D60" s="153">
        <v>51933</v>
      </c>
      <c r="F60" s="5"/>
      <c r="I60" s="6"/>
      <c r="K60" s="5"/>
      <c r="M60" s="5"/>
      <c r="O60" s="5"/>
      <c r="Q60" s="5"/>
      <c r="S60" s="5"/>
      <c r="U60" s="5"/>
      <c r="W60" s="5"/>
      <c r="Y60" s="5"/>
    </row>
    <row r="61" spans="1:25" ht="15.75" customHeight="1" x14ac:dyDescent="0.3">
      <c r="A61" s="151">
        <v>58</v>
      </c>
      <c r="B61" s="148" t="s">
        <v>63</v>
      </c>
      <c r="C61" s="1">
        <v>8546</v>
      </c>
      <c r="D61" s="153">
        <v>8483</v>
      </c>
      <c r="F61" s="5"/>
      <c r="I61" s="6"/>
      <c r="K61" s="5"/>
      <c r="M61" s="5"/>
      <c r="O61" s="5"/>
      <c r="Q61" s="5"/>
      <c r="S61" s="5"/>
      <c r="U61" s="5"/>
      <c r="W61" s="5"/>
      <c r="Y61" s="5"/>
    </row>
    <row r="62" spans="1:25" ht="15.75" customHeight="1" x14ac:dyDescent="0.3">
      <c r="A62" s="151">
        <v>59</v>
      </c>
      <c r="B62" s="148" t="s">
        <v>64</v>
      </c>
      <c r="C62" s="1">
        <v>10839</v>
      </c>
      <c r="D62" s="153">
        <v>11024</v>
      </c>
      <c r="F62" s="5"/>
      <c r="I62" s="6"/>
      <c r="K62" s="5"/>
      <c r="M62" s="5"/>
      <c r="O62" s="5"/>
      <c r="Q62" s="5"/>
      <c r="S62" s="5"/>
      <c r="U62" s="5"/>
      <c r="W62" s="5"/>
      <c r="Y62" s="5"/>
    </row>
    <row r="63" spans="1:25" ht="15.75" customHeight="1" x14ac:dyDescent="0.3">
      <c r="A63" s="151">
        <v>60</v>
      </c>
      <c r="B63" s="148" t="s">
        <v>65</v>
      </c>
      <c r="C63" s="1">
        <v>61753</v>
      </c>
      <c r="D63" s="153">
        <v>58538</v>
      </c>
      <c r="F63" s="5"/>
      <c r="I63" s="6"/>
      <c r="K63" s="5"/>
      <c r="M63" s="5"/>
      <c r="O63" s="5"/>
      <c r="Q63" s="5"/>
      <c r="S63" s="5"/>
      <c r="U63" s="5"/>
      <c r="W63" s="5"/>
      <c r="Y63" s="5"/>
    </row>
    <row r="64" spans="1:25" ht="15.75" customHeight="1" x14ac:dyDescent="0.3">
      <c r="A64" s="151">
        <v>61</v>
      </c>
      <c r="B64" s="148" t="s">
        <v>66</v>
      </c>
      <c r="C64" s="1">
        <v>10023</v>
      </c>
      <c r="D64" s="153">
        <v>9151</v>
      </c>
      <c r="F64" s="5"/>
      <c r="I64" s="6"/>
      <c r="K64" s="5"/>
      <c r="M64" s="5"/>
      <c r="O64" s="5"/>
      <c r="Q64" s="5"/>
      <c r="S64" s="5"/>
      <c r="U64" s="5"/>
      <c r="W64" s="5"/>
      <c r="Y64" s="5"/>
    </row>
    <row r="65" spans="1:25" ht="15.75" customHeight="1" x14ac:dyDescent="0.3">
      <c r="A65" s="151">
        <v>62</v>
      </c>
      <c r="B65" s="148" t="s">
        <v>67</v>
      </c>
      <c r="C65" s="1">
        <v>44332</v>
      </c>
      <c r="D65" s="153">
        <v>43280</v>
      </c>
      <c r="F65" s="5"/>
      <c r="I65" s="6"/>
      <c r="K65" s="5"/>
      <c r="M65" s="5"/>
      <c r="O65" s="5"/>
      <c r="Q65" s="5"/>
      <c r="S65" s="5"/>
      <c r="U65" s="5"/>
      <c r="W65" s="5"/>
      <c r="Y65" s="5"/>
    </row>
    <row r="66" spans="1:25" ht="15.75" customHeight="1" x14ac:dyDescent="0.3">
      <c r="A66" s="151">
        <v>63</v>
      </c>
      <c r="B66" s="148" t="s">
        <v>68</v>
      </c>
      <c r="C66" s="1">
        <v>30563</v>
      </c>
      <c r="D66" s="153">
        <v>29831</v>
      </c>
      <c r="F66" s="5"/>
      <c r="I66" s="6"/>
      <c r="K66" s="5"/>
      <c r="M66" s="5"/>
      <c r="O66" s="5"/>
      <c r="Q66" s="5"/>
      <c r="S66" s="5"/>
      <c r="U66" s="5"/>
      <c r="W66" s="5"/>
      <c r="Y66" s="5"/>
    </row>
    <row r="67" spans="1:25" ht="15.75" customHeight="1" x14ac:dyDescent="0.3">
      <c r="A67" s="151">
        <v>64</v>
      </c>
      <c r="B67" s="148" t="s">
        <v>69</v>
      </c>
      <c r="C67" s="1">
        <v>8988</v>
      </c>
      <c r="D67" s="153">
        <v>8876</v>
      </c>
      <c r="F67" s="5"/>
      <c r="I67" s="6"/>
      <c r="K67" s="5"/>
      <c r="M67" s="5"/>
      <c r="O67" s="5"/>
      <c r="Q67" s="5"/>
      <c r="S67" s="5"/>
      <c r="U67" s="5"/>
      <c r="W67" s="5"/>
      <c r="Y67" s="5"/>
    </row>
    <row r="68" spans="1:25" ht="15.75" customHeight="1" x14ac:dyDescent="0.3">
      <c r="A68" s="151">
        <v>65</v>
      </c>
      <c r="B68" s="148" t="s">
        <v>70</v>
      </c>
      <c r="C68" s="1">
        <v>58490</v>
      </c>
      <c r="D68" s="153">
        <v>54484</v>
      </c>
      <c r="F68" s="5"/>
      <c r="I68" s="6"/>
      <c r="K68" s="5"/>
      <c r="M68" s="5"/>
      <c r="O68" s="5"/>
      <c r="Q68" s="5"/>
      <c r="S68" s="5"/>
      <c r="U68" s="5"/>
      <c r="W68" s="5"/>
      <c r="Y68" s="5"/>
    </row>
    <row r="69" spans="1:25" ht="15.75" customHeight="1" x14ac:dyDescent="0.3">
      <c r="A69" s="151">
        <v>66</v>
      </c>
      <c r="B69" s="148" t="s">
        <v>71</v>
      </c>
      <c r="C69" s="1">
        <v>14767</v>
      </c>
      <c r="D69" s="153">
        <v>14013</v>
      </c>
      <c r="F69" s="5"/>
      <c r="I69" s="6"/>
      <c r="K69" s="5"/>
      <c r="M69" s="5"/>
      <c r="O69" s="5"/>
      <c r="Q69" s="5"/>
      <c r="S69" s="5"/>
      <c r="U69" s="5"/>
      <c r="W69" s="5"/>
      <c r="Y69" s="5"/>
    </row>
    <row r="70" spans="1:25" ht="15.75" customHeight="1" x14ac:dyDescent="0.3">
      <c r="A70" s="151">
        <v>67</v>
      </c>
      <c r="B70" s="148" t="s">
        <v>72</v>
      </c>
      <c r="C70" s="1">
        <v>35177</v>
      </c>
      <c r="D70" s="153">
        <v>34008</v>
      </c>
      <c r="F70" s="5"/>
      <c r="I70" s="6"/>
      <c r="K70" s="5"/>
      <c r="M70" s="5"/>
      <c r="O70" s="5"/>
      <c r="Q70" s="5"/>
      <c r="S70" s="5"/>
      <c r="U70" s="5"/>
      <c r="W70" s="5"/>
      <c r="Y70" s="5"/>
    </row>
    <row r="71" spans="1:25" ht="15.75" customHeight="1" x14ac:dyDescent="0.3">
      <c r="A71" s="151">
        <v>68</v>
      </c>
      <c r="B71" s="148" t="s">
        <v>73</v>
      </c>
      <c r="C71" s="1">
        <v>13253</v>
      </c>
      <c r="D71" s="153">
        <v>13537</v>
      </c>
      <c r="F71" s="5"/>
      <c r="I71" s="6"/>
      <c r="K71" s="5"/>
      <c r="M71" s="5"/>
      <c r="O71" s="5"/>
      <c r="Q71" s="5"/>
      <c r="S71" s="5"/>
      <c r="U71" s="5"/>
      <c r="W71" s="5"/>
      <c r="Y71" s="5"/>
    </row>
    <row r="72" spans="1:25" ht="15.75" customHeight="1" x14ac:dyDescent="0.3">
      <c r="A72" s="151">
        <v>69</v>
      </c>
      <c r="B72" s="148" t="s">
        <v>74</v>
      </c>
      <c r="C72" s="1">
        <v>21721</v>
      </c>
      <c r="D72" s="153">
        <v>20583</v>
      </c>
      <c r="F72" s="5"/>
      <c r="I72" s="6"/>
      <c r="K72" s="5"/>
      <c r="M72" s="5"/>
      <c r="O72" s="5"/>
      <c r="Q72" s="5"/>
      <c r="S72" s="5"/>
      <c r="U72" s="5"/>
      <c r="W72" s="5"/>
      <c r="Y72" s="5"/>
    </row>
    <row r="73" spans="1:25" ht="15.75" customHeight="1" x14ac:dyDescent="0.3">
      <c r="A73" s="151">
        <v>70</v>
      </c>
      <c r="B73" s="148" t="s">
        <v>75</v>
      </c>
      <c r="C73" s="1">
        <v>17392</v>
      </c>
      <c r="D73" s="153">
        <v>16813</v>
      </c>
      <c r="F73" s="5"/>
      <c r="I73" s="6"/>
      <c r="K73" s="5"/>
      <c r="M73" s="5"/>
      <c r="O73" s="5"/>
      <c r="Q73" s="5"/>
      <c r="S73" s="5"/>
      <c r="U73" s="5"/>
      <c r="W73" s="5"/>
      <c r="Y73" s="5"/>
    </row>
    <row r="74" spans="1:25" ht="15.75" customHeight="1" x14ac:dyDescent="0.3">
      <c r="A74" s="151">
        <v>71</v>
      </c>
      <c r="B74" s="148" t="s">
        <v>76</v>
      </c>
      <c r="C74" s="1">
        <v>13028</v>
      </c>
      <c r="D74" s="153">
        <v>15554</v>
      </c>
      <c r="F74" s="5"/>
      <c r="I74" s="6"/>
      <c r="K74" s="5"/>
      <c r="M74" s="5"/>
      <c r="O74" s="5"/>
      <c r="Q74" s="5"/>
      <c r="S74" s="5"/>
      <c r="U74" s="5"/>
      <c r="W74" s="5"/>
      <c r="Y74" s="5"/>
    </row>
    <row r="75" spans="1:25" ht="15.75" customHeight="1" x14ac:dyDescent="0.3">
      <c r="A75" s="151">
        <v>72</v>
      </c>
      <c r="B75" s="148" t="s">
        <v>77</v>
      </c>
      <c r="C75" s="1">
        <v>24757</v>
      </c>
      <c r="D75" s="153">
        <v>24160</v>
      </c>
      <c r="F75" s="5"/>
      <c r="I75" s="6"/>
      <c r="K75" s="5"/>
      <c r="M75" s="5"/>
      <c r="O75" s="5"/>
      <c r="Q75" s="5"/>
      <c r="S75" s="5"/>
      <c r="U75" s="5"/>
      <c r="W75" s="5"/>
      <c r="Y75" s="5"/>
    </row>
    <row r="76" spans="1:25" ht="15.75" customHeight="1" x14ac:dyDescent="0.3">
      <c r="A76" s="151">
        <v>73</v>
      </c>
      <c r="B76" s="148" t="s">
        <v>78</v>
      </c>
      <c r="C76" s="1">
        <v>28075</v>
      </c>
      <c r="D76" s="153">
        <v>26524</v>
      </c>
      <c r="F76" s="5"/>
      <c r="I76" s="6"/>
      <c r="K76" s="5"/>
      <c r="M76" s="5"/>
      <c r="O76" s="5"/>
      <c r="Q76" s="5"/>
      <c r="S76" s="5"/>
      <c r="U76" s="5"/>
      <c r="W76" s="5"/>
      <c r="Y76" s="5"/>
    </row>
    <row r="77" spans="1:25" ht="15.75" customHeight="1" x14ac:dyDescent="0.3">
      <c r="A77" s="151">
        <v>74</v>
      </c>
      <c r="B77" s="148" t="s">
        <v>79</v>
      </c>
      <c r="C77" s="1">
        <v>12724</v>
      </c>
      <c r="D77" s="153">
        <v>12276</v>
      </c>
      <c r="F77" s="5"/>
      <c r="I77" s="6"/>
      <c r="K77" s="5"/>
      <c r="M77" s="5"/>
      <c r="O77" s="5"/>
      <c r="Q77" s="5"/>
      <c r="S77" s="5"/>
      <c r="U77" s="5"/>
      <c r="W77" s="5"/>
      <c r="Y77" s="5"/>
    </row>
    <row r="78" spans="1:25" ht="15.75" customHeight="1" x14ac:dyDescent="0.3">
      <c r="A78" s="151">
        <v>75</v>
      </c>
      <c r="B78" s="148" t="s">
        <v>80</v>
      </c>
      <c r="C78" s="1">
        <v>22695</v>
      </c>
      <c r="D78" s="153">
        <v>21987</v>
      </c>
      <c r="F78" s="5"/>
      <c r="I78" s="6"/>
      <c r="K78" s="5"/>
      <c r="M78" s="5"/>
      <c r="O78" s="5"/>
      <c r="Q78" s="5"/>
      <c r="S78" s="5"/>
      <c r="U78" s="5"/>
      <c r="W78" s="5"/>
      <c r="Y78" s="5"/>
    </row>
    <row r="79" spans="1:25" ht="15.75" customHeight="1" x14ac:dyDescent="0.3">
      <c r="A79" s="151">
        <v>76</v>
      </c>
      <c r="B79" s="148" t="s">
        <v>81</v>
      </c>
      <c r="C79" s="1">
        <v>20977</v>
      </c>
      <c r="D79" s="153">
        <v>20788</v>
      </c>
      <c r="F79" s="5"/>
      <c r="I79" s="6"/>
      <c r="K79" s="5"/>
      <c r="M79" s="5"/>
      <c r="O79" s="5"/>
      <c r="Q79" s="5"/>
      <c r="S79" s="5"/>
      <c r="U79" s="5"/>
      <c r="W79" s="5"/>
      <c r="Y79" s="5"/>
    </row>
    <row r="80" spans="1:25" ht="15.75" customHeight="1" x14ac:dyDescent="0.3">
      <c r="A80" s="151">
        <v>77</v>
      </c>
      <c r="B80" s="148" t="s">
        <v>82</v>
      </c>
      <c r="C80" s="1">
        <v>63366</v>
      </c>
      <c r="D80" s="153">
        <v>65299</v>
      </c>
      <c r="F80" s="5"/>
      <c r="I80" s="6"/>
      <c r="K80" s="5"/>
      <c r="M80" s="5"/>
      <c r="O80" s="5"/>
      <c r="Q80" s="5"/>
      <c r="S80" s="5"/>
      <c r="U80" s="5"/>
      <c r="W80" s="5"/>
      <c r="Y80" s="5"/>
    </row>
    <row r="81" spans="1:25" ht="15.75" customHeight="1" x14ac:dyDescent="0.3">
      <c r="A81" s="151">
        <v>78</v>
      </c>
      <c r="B81" s="148" t="s">
        <v>83</v>
      </c>
      <c r="C81" s="1">
        <v>3139</v>
      </c>
      <c r="D81" s="153">
        <v>3128</v>
      </c>
      <c r="F81" s="5"/>
      <c r="I81" s="6"/>
      <c r="K81" s="5"/>
      <c r="M81" s="5"/>
      <c r="O81" s="5"/>
      <c r="Q81" s="5"/>
      <c r="S81" s="5"/>
      <c r="U81" s="5"/>
      <c r="W81" s="5"/>
      <c r="Y81" s="5"/>
    </row>
    <row r="82" spans="1:25" ht="15.75" customHeight="1" x14ac:dyDescent="0.3">
      <c r="A82" s="151">
        <v>79</v>
      </c>
      <c r="B82" s="148" t="s">
        <v>84</v>
      </c>
      <c r="C82" s="1">
        <v>13048</v>
      </c>
      <c r="D82" s="153">
        <v>12567</v>
      </c>
      <c r="F82" s="5"/>
      <c r="I82" s="6"/>
      <c r="K82" s="5"/>
      <c r="M82" s="5"/>
      <c r="O82" s="5"/>
      <c r="Q82" s="5"/>
      <c r="S82" s="5"/>
      <c r="U82" s="5"/>
      <c r="W82" s="5"/>
      <c r="Y82" s="5"/>
    </row>
    <row r="83" spans="1:25" ht="15.75" customHeight="1" x14ac:dyDescent="0.3">
      <c r="A83" s="151">
        <v>80</v>
      </c>
      <c r="B83" s="148" t="s">
        <v>85</v>
      </c>
      <c r="C83" s="1">
        <v>786</v>
      </c>
      <c r="D83" s="153">
        <v>784</v>
      </c>
      <c r="F83" s="5"/>
      <c r="I83" s="6"/>
      <c r="K83" s="5"/>
      <c r="M83" s="5"/>
      <c r="O83" s="5"/>
      <c r="Q83" s="5"/>
      <c r="S83" s="5"/>
      <c r="U83" s="5"/>
      <c r="W83" s="5"/>
      <c r="Y83" s="5"/>
    </row>
    <row r="84" spans="1:25" ht="15.75" customHeight="1" x14ac:dyDescent="0.3">
      <c r="A84" s="151">
        <v>81</v>
      </c>
      <c r="B84" s="148" t="s">
        <v>86</v>
      </c>
      <c r="C84" s="1">
        <v>7630</v>
      </c>
      <c r="D84" s="153">
        <v>6961</v>
      </c>
      <c r="F84" s="5"/>
      <c r="I84" s="6"/>
      <c r="K84" s="5"/>
      <c r="M84" s="5"/>
      <c r="O84" s="5"/>
      <c r="Q84" s="5"/>
      <c r="S84" s="5"/>
      <c r="U84" s="5"/>
      <c r="W84" s="5"/>
      <c r="Y84" s="5"/>
    </row>
    <row r="85" spans="1:25" ht="15.75" customHeight="1" x14ac:dyDescent="0.3">
      <c r="A85" s="151">
        <v>82</v>
      </c>
      <c r="B85" s="148" t="s">
        <v>87</v>
      </c>
      <c r="C85" s="1">
        <v>16088</v>
      </c>
      <c r="D85" s="153">
        <v>16066</v>
      </c>
      <c r="F85" s="5"/>
      <c r="I85" s="6"/>
      <c r="K85" s="5"/>
      <c r="M85" s="5"/>
      <c r="O85" s="5"/>
      <c r="Q85" s="5"/>
      <c r="S85" s="5"/>
      <c r="U85" s="5"/>
      <c r="W85" s="5"/>
      <c r="Y85" s="5"/>
    </row>
    <row r="86" spans="1:25" ht="15.75" customHeight="1" x14ac:dyDescent="0.3">
      <c r="A86" s="151">
        <v>83</v>
      </c>
      <c r="B86" s="148" t="s">
        <v>88</v>
      </c>
      <c r="C86" s="1">
        <v>146559</v>
      </c>
      <c r="D86" s="153">
        <v>143564</v>
      </c>
      <c r="F86" s="5"/>
      <c r="I86" s="6"/>
      <c r="K86" s="5"/>
      <c r="M86" s="5"/>
      <c r="O86" s="5"/>
      <c r="Q86" s="5"/>
      <c r="S86" s="5"/>
      <c r="U86" s="5"/>
      <c r="W86" s="5"/>
      <c r="Y86" s="5"/>
    </row>
    <row r="87" spans="1:25" ht="15.75" customHeight="1" x14ac:dyDescent="0.3">
      <c r="A87" s="151">
        <v>84</v>
      </c>
      <c r="B87" s="148" t="s">
        <v>89</v>
      </c>
      <c r="C87" s="1">
        <v>61309</v>
      </c>
      <c r="D87" s="153">
        <v>62755</v>
      </c>
      <c r="F87" s="5"/>
      <c r="I87" s="6"/>
      <c r="K87" s="5"/>
      <c r="M87" s="5"/>
      <c r="O87" s="5"/>
      <c r="Q87" s="5"/>
      <c r="S87" s="5"/>
      <c r="U87" s="5"/>
      <c r="W87" s="5"/>
      <c r="Y87" s="5"/>
    </row>
    <row r="88" spans="1:25" ht="15.75" customHeight="1" thickBot="1" x14ac:dyDescent="0.35">
      <c r="A88" s="154">
        <v>85</v>
      </c>
      <c r="B88" s="155" t="s">
        <v>90</v>
      </c>
      <c r="C88" s="98">
        <v>6104</v>
      </c>
      <c r="D88" s="156">
        <v>6136</v>
      </c>
      <c r="F88" s="5"/>
      <c r="I88" s="6"/>
      <c r="K88" s="5"/>
      <c r="M88" s="5"/>
      <c r="O88" s="5"/>
      <c r="Q88" s="5"/>
      <c r="S88" s="5"/>
      <c r="U88" s="5"/>
      <c r="W88" s="5"/>
      <c r="Y88" s="5"/>
    </row>
    <row r="89" spans="1:25" ht="15.75" customHeight="1" x14ac:dyDescent="0.3">
      <c r="F89" s="5"/>
      <c r="I89" s="6"/>
      <c r="K89" s="5"/>
      <c r="M89" s="5"/>
      <c r="O89" s="5"/>
      <c r="Q89" s="5"/>
      <c r="S89" s="5"/>
      <c r="U89" s="5"/>
      <c r="W89" s="5"/>
      <c r="Y89" s="5"/>
    </row>
    <row r="90" spans="1:25" ht="15.75" customHeight="1" x14ac:dyDescent="0.3">
      <c r="F90" s="5"/>
      <c r="I90" s="6"/>
      <c r="K90" s="5"/>
      <c r="M90" s="5"/>
      <c r="O90" s="5"/>
      <c r="Q90" s="5"/>
      <c r="S90" s="5"/>
      <c r="U90" s="5"/>
      <c r="W90" s="5"/>
      <c r="Y90" s="5"/>
    </row>
    <row r="91" spans="1:25" ht="15.75" customHeight="1" x14ac:dyDescent="0.3">
      <c r="B91" s="9" t="s">
        <v>4</v>
      </c>
      <c r="C91" s="160" t="s">
        <v>5</v>
      </c>
      <c r="D91" s="161"/>
      <c r="F91" s="5"/>
      <c r="I91" s="6"/>
      <c r="K91" s="5"/>
      <c r="M91" s="5"/>
      <c r="O91" s="5"/>
      <c r="Q91" s="5"/>
      <c r="S91" s="5"/>
      <c r="U91" s="5"/>
      <c r="W91" s="5"/>
      <c r="Y91" s="5"/>
    </row>
    <row r="92" spans="1:25" ht="15.75" customHeight="1" x14ac:dyDescent="0.3">
      <c r="F92" s="5"/>
      <c r="I92" s="6"/>
      <c r="K92" s="5"/>
      <c r="M92" s="5"/>
      <c r="O92" s="5"/>
      <c r="Q92" s="5"/>
      <c r="S92" s="5"/>
      <c r="U92" s="5"/>
      <c r="W92" s="5"/>
      <c r="Y92" s="5"/>
    </row>
    <row r="93" spans="1:25" ht="15.75" customHeight="1" x14ac:dyDescent="0.3">
      <c r="F93" s="5"/>
      <c r="I93" s="6"/>
      <c r="K93" s="5"/>
      <c r="M93" s="5"/>
      <c r="O93" s="5"/>
      <c r="Q93" s="5"/>
      <c r="S93" s="5"/>
      <c r="U93" s="5"/>
      <c r="W93" s="5"/>
      <c r="Y93" s="5"/>
    </row>
    <row r="94" spans="1:25" ht="15.75" customHeight="1" x14ac:dyDescent="0.3">
      <c r="F94" s="5"/>
      <c r="I94" s="6"/>
      <c r="K94" s="5"/>
      <c r="M94" s="5"/>
      <c r="O94" s="5"/>
      <c r="Q94" s="5"/>
      <c r="S94" s="5"/>
      <c r="U94" s="5"/>
      <c r="W94" s="5"/>
      <c r="Y94" s="5"/>
    </row>
    <row r="95" spans="1:25" ht="15.75" customHeight="1" x14ac:dyDescent="0.3">
      <c r="F95" s="5"/>
      <c r="I95" s="6"/>
      <c r="K95" s="5"/>
      <c r="M95" s="5"/>
      <c r="O95" s="5"/>
      <c r="Q95" s="5"/>
      <c r="S95" s="5"/>
      <c r="U95" s="5"/>
      <c r="W95" s="5"/>
      <c r="Y95" s="5"/>
    </row>
    <row r="96" spans="1:25" ht="15.75" customHeight="1" x14ac:dyDescent="0.3">
      <c r="F96" s="5"/>
      <c r="I96" s="6"/>
      <c r="K96" s="5"/>
      <c r="M96" s="5"/>
      <c r="O96" s="5"/>
      <c r="Q96" s="5"/>
      <c r="S96" s="5"/>
      <c r="U96" s="5"/>
      <c r="W96" s="5"/>
      <c r="Y96" s="5"/>
    </row>
    <row r="97" spans="6:25" ht="15.75" customHeight="1" x14ac:dyDescent="0.3">
      <c r="F97" s="5"/>
      <c r="I97" s="6"/>
      <c r="K97" s="5"/>
      <c r="M97" s="5"/>
      <c r="O97" s="5"/>
      <c r="Q97" s="5"/>
      <c r="S97" s="5"/>
      <c r="U97" s="5"/>
      <c r="W97" s="5"/>
      <c r="Y97" s="5"/>
    </row>
    <row r="98" spans="6:25" ht="15.75" customHeight="1" x14ac:dyDescent="0.3">
      <c r="F98" s="5"/>
      <c r="I98" s="6"/>
      <c r="K98" s="5"/>
      <c r="M98" s="5"/>
      <c r="O98" s="5"/>
      <c r="Q98" s="5"/>
      <c r="S98" s="5"/>
      <c r="U98" s="5"/>
      <c r="W98" s="5"/>
      <c r="Y98" s="5"/>
    </row>
    <row r="99" spans="6:25" ht="15.75" customHeight="1" x14ac:dyDescent="0.3">
      <c r="F99" s="5"/>
      <c r="I99" s="6"/>
      <c r="K99" s="5"/>
      <c r="M99" s="5"/>
      <c r="O99" s="5"/>
      <c r="Q99" s="5"/>
      <c r="S99" s="5"/>
      <c r="U99" s="5"/>
      <c r="W99" s="5"/>
      <c r="Y99" s="5"/>
    </row>
    <row r="100" spans="6:25" ht="15.75" customHeight="1" x14ac:dyDescent="0.3">
      <c r="F100" s="5"/>
      <c r="I100" s="6"/>
      <c r="K100" s="5"/>
      <c r="M100" s="5"/>
      <c r="O100" s="5"/>
      <c r="Q100" s="5"/>
      <c r="S100" s="5"/>
      <c r="U100" s="5"/>
      <c r="W100" s="5"/>
      <c r="Y100" s="5"/>
    </row>
    <row r="101" spans="6:25" ht="15.75" customHeight="1" x14ac:dyDescent="0.3">
      <c r="F101" s="5"/>
      <c r="I101" s="6"/>
      <c r="K101" s="5"/>
      <c r="M101" s="5"/>
      <c r="O101" s="5"/>
      <c r="Q101" s="5"/>
      <c r="S101" s="5"/>
      <c r="U101" s="5"/>
      <c r="W101" s="5"/>
      <c r="Y101" s="5"/>
    </row>
    <row r="102" spans="6:25" ht="15.75" customHeight="1" x14ac:dyDescent="0.3">
      <c r="F102" s="5"/>
      <c r="I102" s="6"/>
      <c r="K102" s="5"/>
      <c r="M102" s="5"/>
      <c r="O102" s="5"/>
      <c r="Q102" s="5"/>
      <c r="S102" s="5"/>
      <c r="U102" s="5"/>
      <c r="W102" s="5"/>
      <c r="Y102" s="5"/>
    </row>
    <row r="103" spans="6:25" ht="15.75" customHeight="1" x14ac:dyDescent="0.3">
      <c r="F103" s="5"/>
      <c r="I103" s="6"/>
      <c r="K103" s="5"/>
      <c r="M103" s="5"/>
      <c r="O103" s="5"/>
      <c r="Q103" s="5"/>
      <c r="S103" s="5"/>
      <c r="U103" s="5"/>
      <c r="W103" s="5"/>
      <c r="Y103" s="5"/>
    </row>
    <row r="104" spans="6:25" ht="15.75" customHeight="1" x14ac:dyDescent="0.3">
      <c r="F104" s="5"/>
      <c r="I104" s="6"/>
      <c r="K104" s="5"/>
      <c r="M104" s="5"/>
      <c r="O104" s="5"/>
      <c r="Q104" s="5"/>
      <c r="S104" s="5"/>
      <c r="U104" s="5"/>
      <c r="W104" s="5"/>
      <c r="Y104" s="5"/>
    </row>
    <row r="105" spans="6:25" ht="15.75" customHeight="1" x14ac:dyDescent="0.3">
      <c r="F105" s="5"/>
      <c r="I105" s="6"/>
      <c r="K105" s="5"/>
      <c r="M105" s="5"/>
      <c r="O105" s="5"/>
      <c r="Q105" s="5"/>
      <c r="S105" s="5"/>
      <c r="U105" s="5"/>
      <c r="W105" s="5"/>
      <c r="Y105" s="5"/>
    </row>
    <row r="106" spans="6:25" ht="15.75" customHeight="1" x14ac:dyDescent="0.3">
      <c r="F106" s="5"/>
      <c r="I106" s="6"/>
      <c r="K106" s="5"/>
      <c r="M106" s="5"/>
      <c r="O106" s="5"/>
      <c r="Q106" s="5"/>
      <c r="S106" s="5"/>
      <c r="U106" s="5"/>
      <c r="W106" s="5"/>
      <c r="Y106" s="5"/>
    </row>
    <row r="107" spans="6:25" ht="15.75" customHeight="1" x14ac:dyDescent="0.3">
      <c r="F107" s="5"/>
      <c r="I107" s="6"/>
      <c r="K107" s="5"/>
      <c r="M107" s="5"/>
      <c r="O107" s="5"/>
      <c r="Q107" s="5"/>
      <c r="S107" s="5"/>
      <c r="U107" s="5"/>
      <c r="W107" s="5"/>
      <c r="Y107" s="5"/>
    </row>
    <row r="108" spans="6:25" ht="15.75" customHeight="1" x14ac:dyDescent="0.3">
      <c r="F108" s="5"/>
      <c r="I108" s="6"/>
      <c r="K108" s="5"/>
      <c r="M108" s="5"/>
      <c r="O108" s="5"/>
      <c r="Q108" s="5"/>
      <c r="S108" s="5"/>
      <c r="U108" s="5"/>
      <c r="W108" s="5"/>
      <c r="Y108" s="5"/>
    </row>
    <row r="109" spans="6:25" ht="15.75" customHeight="1" x14ac:dyDescent="0.3">
      <c r="F109" s="5"/>
      <c r="I109" s="6"/>
      <c r="K109" s="5"/>
      <c r="M109" s="5"/>
      <c r="O109" s="5"/>
      <c r="Q109" s="5"/>
      <c r="S109" s="5"/>
      <c r="U109" s="5"/>
      <c r="W109" s="5"/>
      <c r="Y109" s="5"/>
    </row>
    <row r="110" spans="6:25" ht="15.75" customHeight="1" x14ac:dyDescent="0.3">
      <c r="F110" s="5"/>
      <c r="I110" s="6"/>
      <c r="K110" s="5"/>
      <c r="M110" s="5"/>
      <c r="O110" s="5"/>
      <c r="Q110" s="5"/>
      <c r="S110" s="5"/>
      <c r="U110" s="5"/>
      <c r="W110" s="5"/>
      <c r="Y110" s="5"/>
    </row>
    <row r="111" spans="6:25" ht="15.75" customHeight="1" x14ac:dyDescent="0.3">
      <c r="F111" s="5"/>
      <c r="I111" s="6"/>
      <c r="K111" s="5"/>
      <c r="M111" s="5"/>
      <c r="O111" s="5"/>
      <c r="Q111" s="5"/>
      <c r="S111" s="5"/>
      <c r="U111" s="5"/>
      <c r="W111" s="5"/>
      <c r="Y111" s="5"/>
    </row>
    <row r="112" spans="6:25" ht="15.75" customHeight="1" x14ac:dyDescent="0.3">
      <c r="F112" s="5"/>
      <c r="I112" s="6"/>
      <c r="K112" s="5"/>
      <c r="M112" s="5"/>
      <c r="O112" s="5"/>
      <c r="Q112" s="5"/>
      <c r="S112" s="5"/>
      <c r="U112" s="5"/>
      <c r="W112" s="5"/>
      <c r="Y112" s="5"/>
    </row>
    <row r="113" spans="6:25" ht="15.75" customHeight="1" x14ac:dyDescent="0.3">
      <c r="F113" s="5"/>
      <c r="I113" s="6"/>
      <c r="K113" s="5"/>
      <c r="M113" s="5"/>
      <c r="O113" s="5"/>
      <c r="Q113" s="5"/>
      <c r="S113" s="5"/>
      <c r="U113" s="5"/>
      <c r="W113" s="5"/>
      <c r="Y113" s="5"/>
    </row>
    <row r="114" spans="6:25" ht="15.75" customHeight="1" x14ac:dyDescent="0.3">
      <c r="F114" s="5"/>
      <c r="I114" s="6"/>
      <c r="K114" s="5"/>
      <c r="M114" s="5"/>
      <c r="O114" s="5"/>
      <c r="Q114" s="5"/>
      <c r="S114" s="5"/>
      <c r="U114" s="5"/>
      <c r="W114" s="5"/>
      <c r="Y114" s="5"/>
    </row>
    <row r="115" spans="6:25" ht="15.75" customHeight="1" x14ac:dyDescent="0.3">
      <c r="F115" s="5"/>
      <c r="I115" s="6"/>
      <c r="K115" s="5"/>
      <c r="M115" s="5"/>
      <c r="O115" s="5"/>
      <c r="Q115" s="5"/>
      <c r="S115" s="5"/>
      <c r="U115" s="5"/>
      <c r="W115" s="5"/>
      <c r="Y115" s="5"/>
    </row>
    <row r="116" spans="6:25" ht="15.75" customHeight="1" x14ac:dyDescent="0.3">
      <c r="F116" s="5"/>
      <c r="I116" s="6"/>
      <c r="K116" s="5"/>
      <c r="M116" s="5"/>
      <c r="O116" s="5"/>
      <c r="Q116" s="5"/>
      <c r="S116" s="5"/>
      <c r="U116" s="5"/>
      <c r="W116" s="5"/>
      <c r="Y116" s="5"/>
    </row>
    <row r="117" spans="6:25" ht="15.75" customHeight="1" x14ac:dyDescent="0.3">
      <c r="F117" s="5"/>
      <c r="I117" s="6"/>
      <c r="K117" s="5"/>
      <c r="M117" s="5"/>
      <c r="O117" s="5"/>
      <c r="Q117" s="5"/>
      <c r="S117" s="5"/>
      <c r="U117" s="5"/>
      <c r="W117" s="5"/>
      <c r="Y117" s="5"/>
    </row>
    <row r="118" spans="6:25" ht="15.75" customHeight="1" x14ac:dyDescent="0.3">
      <c r="F118" s="5"/>
      <c r="I118" s="6"/>
      <c r="K118" s="5"/>
      <c r="M118" s="5"/>
      <c r="O118" s="5"/>
      <c r="Q118" s="5"/>
      <c r="S118" s="5"/>
      <c r="U118" s="5"/>
      <c r="W118" s="5"/>
      <c r="Y118" s="5"/>
    </row>
    <row r="119" spans="6:25" ht="15.75" customHeight="1" x14ac:dyDescent="0.3">
      <c r="F119" s="5"/>
      <c r="I119" s="6"/>
      <c r="K119" s="5"/>
      <c r="M119" s="5"/>
      <c r="O119" s="5"/>
      <c r="Q119" s="5"/>
      <c r="S119" s="5"/>
      <c r="U119" s="5"/>
      <c r="W119" s="5"/>
      <c r="Y119" s="5"/>
    </row>
    <row r="120" spans="6:25" ht="15.75" customHeight="1" x14ac:dyDescent="0.3">
      <c r="F120" s="5"/>
      <c r="I120" s="6"/>
      <c r="K120" s="5"/>
      <c r="M120" s="5"/>
      <c r="O120" s="5"/>
      <c r="Q120" s="5"/>
      <c r="S120" s="5"/>
      <c r="U120" s="5"/>
      <c r="W120" s="5"/>
      <c r="Y120" s="5"/>
    </row>
    <row r="121" spans="6:25" ht="15.75" customHeight="1" x14ac:dyDescent="0.3">
      <c r="F121" s="5"/>
      <c r="I121" s="6"/>
      <c r="K121" s="5"/>
      <c r="M121" s="5"/>
      <c r="O121" s="5"/>
      <c r="Q121" s="5"/>
      <c r="S121" s="5"/>
      <c r="U121" s="5"/>
      <c r="W121" s="5"/>
      <c r="Y121" s="5"/>
    </row>
    <row r="122" spans="6:25" ht="15.75" customHeight="1" x14ac:dyDescent="0.3">
      <c r="F122" s="5"/>
      <c r="I122" s="6"/>
      <c r="K122" s="5"/>
      <c r="M122" s="5"/>
      <c r="O122" s="5"/>
      <c r="Q122" s="5"/>
      <c r="S122" s="5"/>
      <c r="U122" s="5"/>
      <c r="W122" s="5"/>
      <c r="Y122" s="5"/>
    </row>
    <row r="123" spans="6:25" ht="15.75" customHeight="1" x14ac:dyDescent="0.3">
      <c r="F123" s="5"/>
      <c r="I123" s="6"/>
      <c r="K123" s="5"/>
      <c r="M123" s="5"/>
      <c r="O123" s="5"/>
      <c r="Q123" s="5"/>
      <c r="S123" s="5"/>
      <c r="U123" s="5"/>
      <c r="W123" s="5"/>
      <c r="Y123" s="5"/>
    </row>
    <row r="124" spans="6:25" ht="15.75" customHeight="1" x14ac:dyDescent="0.3">
      <c r="F124" s="5"/>
      <c r="I124" s="6"/>
      <c r="K124" s="5"/>
      <c r="M124" s="5"/>
      <c r="O124" s="5"/>
      <c r="Q124" s="5"/>
      <c r="S124" s="5"/>
      <c r="U124" s="5"/>
      <c r="W124" s="5"/>
      <c r="Y124" s="5"/>
    </row>
    <row r="125" spans="6:25" ht="15.75" customHeight="1" x14ac:dyDescent="0.3">
      <c r="F125" s="5"/>
      <c r="I125" s="6"/>
      <c r="K125" s="5"/>
      <c r="M125" s="5"/>
      <c r="O125" s="5"/>
      <c r="Q125" s="5"/>
      <c r="S125" s="5"/>
      <c r="U125" s="5"/>
      <c r="W125" s="5"/>
      <c r="Y125" s="5"/>
    </row>
    <row r="126" spans="6:25" ht="15.75" customHeight="1" x14ac:dyDescent="0.3">
      <c r="F126" s="5"/>
      <c r="I126" s="6"/>
      <c r="K126" s="5"/>
      <c r="M126" s="5"/>
      <c r="O126" s="5"/>
      <c r="Q126" s="5"/>
      <c r="S126" s="5"/>
      <c r="U126" s="5"/>
      <c r="W126" s="5"/>
      <c r="Y126" s="5"/>
    </row>
    <row r="127" spans="6:25" ht="15.75" customHeight="1" x14ac:dyDescent="0.3">
      <c r="F127" s="5"/>
      <c r="I127" s="6"/>
      <c r="K127" s="5"/>
      <c r="M127" s="5"/>
      <c r="O127" s="5"/>
      <c r="Q127" s="5"/>
      <c r="S127" s="5"/>
      <c r="U127" s="5"/>
      <c r="W127" s="5"/>
      <c r="Y127" s="5"/>
    </row>
    <row r="128" spans="6:25" ht="15.75" customHeight="1" x14ac:dyDescent="0.3">
      <c r="F128" s="5"/>
      <c r="I128" s="6"/>
      <c r="K128" s="5"/>
      <c r="M128" s="5"/>
      <c r="O128" s="5"/>
      <c r="Q128" s="5"/>
      <c r="S128" s="5"/>
      <c r="U128" s="5"/>
      <c r="W128" s="5"/>
      <c r="Y128" s="5"/>
    </row>
    <row r="129" spans="6:25" ht="15.75" customHeight="1" x14ac:dyDescent="0.3">
      <c r="F129" s="5"/>
      <c r="I129" s="6"/>
      <c r="K129" s="5"/>
      <c r="M129" s="5"/>
      <c r="O129" s="5"/>
      <c r="Q129" s="5"/>
      <c r="S129" s="5"/>
      <c r="U129" s="5"/>
      <c r="W129" s="5"/>
      <c r="Y129" s="5"/>
    </row>
    <row r="130" spans="6:25" ht="15.75" customHeight="1" x14ac:dyDescent="0.3">
      <c r="F130" s="5"/>
      <c r="I130" s="6"/>
      <c r="K130" s="5"/>
      <c r="M130" s="5"/>
      <c r="O130" s="5"/>
      <c r="Q130" s="5"/>
      <c r="S130" s="5"/>
      <c r="U130" s="5"/>
      <c r="W130" s="5"/>
      <c r="Y130" s="5"/>
    </row>
    <row r="131" spans="6:25" ht="15.75" customHeight="1" x14ac:dyDescent="0.3">
      <c r="F131" s="5"/>
      <c r="I131" s="6"/>
      <c r="K131" s="5"/>
      <c r="M131" s="5"/>
      <c r="O131" s="5"/>
      <c r="Q131" s="5"/>
      <c r="S131" s="5"/>
      <c r="U131" s="5"/>
      <c r="W131" s="5"/>
      <c r="Y131" s="5"/>
    </row>
    <row r="132" spans="6:25" ht="15.75" customHeight="1" x14ac:dyDescent="0.3">
      <c r="F132" s="5"/>
      <c r="I132" s="6"/>
      <c r="K132" s="5"/>
      <c r="M132" s="5"/>
      <c r="O132" s="5"/>
      <c r="Q132" s="5"/>
      <c r="S132" s="5"/>
      <c r="U132" s="5"/>
      <c r="W132" s="5"/>
      <c r="Y132" s="5"/>
    </row>
    <row r="133" spans="6:25" ht="15.75" customHeight="1" x14ac:dyDescent="0.3">
      <c r="F133" s="5"/>
      <c r="I133" s="6"/>
      <c r="K133" s="5"/>
      <c r="M133" s="5"/>
      <c r="O133" s="5"/>
      <c r="Q133" s="5"/>
      <c r="S133" s="5"/>
      <c r="U133" s="5"/>
      <c r="W133" s="5"/>
      <c r="Y133" s="5"/>
    </row>
    <row r="134" spans="6:25" ht="15.75" customHeight="1" x14ac:dyDescent="0.3">
      <c r="F134" s="5"/>
      <c r="I134" s="6"/>
      <c r="K134" s="5"/>
      <c r="M134" s="5"/>
      <c r="O134" s="5"/>
      <c r="Q134" s="5"/>
      <c r="S134" s="5"/>
      <c r="U134" s="5"/>
      <c r="W134" s="5"/>
      <c r="Y134" s="5"/>
    </row>
    <row r="135" spans="6:25" ht="15.75" customHeight="1" x14ac:dyDescent="0.3">
      <c r="F135" s="5"/>
      <c r="I135" s="6"/>
      <c r="K135" s="5"/>
      <c r="M135" s="5"/>
      <c r="O135" s="5"/>
      <c r="Q135" s="5"/>
      <c r="S135" s="5"/>
      <c r="U135" s="5"/>
      <c r="W135" s="5"/>
      <c r="Y135" s="5"/>
    </row>
    <row r="136" spans="6:25" ht="15.75" customHeight="1" x14ac:dyDescent="0.3">
      <c r="F136" s="5"/>
      <c r="I136" s="6"/>
      <c r="K136" s="5"/>
      <c r="M136" s="5"/>
      <c r="O136" s="5"/>
      <c r="Q136" s="5"/>
      <c r="S136" s="5"/>
      <c r="U136" s="5"/>
      <c r="W136" s="5"/>
      <c r="Y136" s="5"/>
    </row>
    <row r="137" spans="6:25" ht="15.75" customHeight="1" x14ac:dyDescent="0.3">
      <c r="F137" s="5"/>
      <c r="I137" s="6"/>
      <c r="K137" s="5"/>
      <c r="M137" s="5"/>
      <c r="O137" s="5"/>
      <c r="Q137" s="5"/>
      <c r="S137" s="5"/>
      <c r="U137" s="5"/>
      <c r="W137" s="5"/>
      <c r="Y137" s="5"/>
    </row>
    <row r="138" spans="6:25" ht="15.75" customHeight="1" x14ac:dyDescent="0.3">
      <c r="F138" s="5"/>
      <c r="I138" s="6"/>
      <c r="K138" s="5"/>
      <c r="M138" s="5"/>
      <c r="O138" s="5"/>
      <c r="Q138" s="5"/>
      <c r="S138" s="5"/>
      <c r="U138" s="5"/>
      <c r="W138" s="5"/>
      <c r="Y138" s="5"/>
    </row>
    <row r="139" spans="6:25" ht="15.75" customHeight="1" x14ac:dyDescent="0.3">
      <c r="F139" s="5"/>
      <c r="I139" s="6"/>
      <c r="K139" s="5"/>
      <c r="M139" s="5"/>
      <c r="O139" s="5"/>
      <c r="Q139" s="5"/>
      <c r="S139" s="5"/>
      <c r="U139" s="5"/>
      <c r="W139" s="5"/>
      <c r="Y139" s="5"/>
    </row>
    <row r="140" spans="6:25" ht="15.75" customHeight="1" x14ac:dyDescent="0.3">
      <c r="F140" s="5"/>
      <c r="I140" s="6"/>
      <c r="K140" s="5"/>
      <c r="M140" s="5"/>
      <c r="O140" s="5"/>
      <c r="Q140" s="5"/>
      <c r="S140" s="5"/>
      <c r="U140" s="5"/>
      <c r="W140" s="5"/>
      <c r="Y140" s="5"/>
    </row>
    <row r="141" spans="6:25" ht="15.75" customHeight="1" x14ac:dyDescent="0.3">
      <c r="F141" s="5"/>
      <c r="I141" s="6"/>
      <c r="K141" s="5"/>
      <c r="M141" s="5"/>
      <c r="O141" s="5"/>
      <c r="Q141" s="5"/>
      <c r="S141" s="5"/>
      <c r="U141" s="5"/>
      <c r="W141" s="5"/>
      <c r="Y141" s="5"/>
    </row>
    <row r="142" spans="6:25" ht="15.75" customHeight="1" x14ac:dyDescent="0.3">
      <c r="F142" s="5"/>
      <c r="I142" s="6"/>
      <c r="K142" s="5"/>
      <c r="M142" s="5"/>
      <c r="O142" s="5"/>
      <c r="Q142" s="5"/>
      <c r="S142" s="5"/>
      <c r="U142" s="5"/>
      <c r="W142" s="5"/>
      <c r="Y142" s="5"/>
    </row>
    <row r="143" spans="6:25" ht="15.75" customHeight="1" x14ac:dyDescent="0.3">
      <c r="F143" s="5"/>
      <c r="I143" s="6"/>
      <c r="K143" s="5"/>
      <c r="M143" s="5"/>
      <c r="O143" s="5"/>
      <c r="Q143" s="5"/>
      <c r="S143" s="5"/>
      <c r="U143" s="5"/>
      <c r="W143" s="5"/>
      <c r="Y143" s="5"/>
    </row>
    <row r="144" spans="6:25" ht="15.75" customHeight="1" x14ac:dyDescent="0.3">
      <c r="F144" s="5"/>
      <c r="I144" s="6"/>
      <c r="K144" s="5"/>
      <c r="M144" s="5"/>
      <c r="O144" s="5"/>
      <c r="Q144" s="5"/>
      <c r="S144" s="5"/>
      <c r="U144" s="5"/>
      <c r="W144" s="5"/>
      <c r="Y144" s="5"/>
    </row>
    <row r="145" spans="6:25" ht="15.75" customHeight="1" x14ac:dyDescent="0.3">
      <c r="F145" s="5"/>
      <c r="I145" s="6"/>
      <c r="K145" s="5"/>
      <c r="M145" s="5"/>
      <c r="O145" s="5"/>
      <c r="Q145" s="5"/>
      <c r="S145" s="5"/>
      <c r="U145" s="5"/>
      <c r="W145" s="5"/>
      <c r="Y145" s="5"/>
    </row>
    <row r="146" spans="6:25" ht="15.75" customHeight="1" x14ac:dyDescent="0.3">
      <c r="F146" s="5"/>
      <c r="I146" s="6"/>
      <c r="K146" s="5"/>
      <c r="M146" s="5"/>
      <c r="O146" s="5"/>
      <c r="Q146" s="5"/>
      <c r="S146" s="5"/>
      <c r="U146" s="5"/>
      <c r="W146" s="5"/>
      <c r="Y146" s="5"/>
    </row>
    <row r="147" spans="6:25" ht="15.75" customHeight="1" x14ac:dyDescent="0.3">
      <c r="F147" s="5"/>
      <c r="I147" s="6"/>
      <c r="K147" s="5"/>
      <c r="M147" s="5"/>
      <c r="O147" s="5"/>
      <c r="Q147" s="5"/>
      <c r="S147" s="5"/>
      <c r="U147" s="5"/>
      <c r="W147" s="5"/>
      <c r="Y147" s="5"/>
    </row>
    <row r="148" spans="6:25" ht="15.75" customHeight="1" x14ac:dyDescent="0.3">
      <c r="F148" s="5"/>
      <c r="I148" s="6"/>
      <c r="K148" s="5"/>
      <c r="M148" s="5"/>
      <c r="O148" s="5"/>
      <c r="Q148" s="5"/>
      <c r="S148" s="5"/>
      <c r="U148" s="5"/>
      <c r="W148" s="5"/>
      <c r="Y148" s="5"/>
    </row>
    <row r="149" spans="6:25" ht="15.75" customHeight="1" x14ac:dyDescent="0.3">
      <c r="F149" s="5"/>
      <c r="I149" s="6"/>
      <c r="K149" s="5"/>
      <c r="M149" s="5"/>
      <c r="O149" s="5"/>
      <c r="Q149" s="5"/>
      <c r="S149" s="5"/>
      <c r="U149" s="5"/>
      <c r="W149" s="5"/>
      <c r="Y149" s="5"/>
    </row>
    <row r="150" spans="6:25" ht="15.75" customHeight="1" x14ac:dyDescent="0.3">
      <c r="F150" s="5"/>
      <c r="I150" s="6"/>
      <c r="K150" s="5"/>
      <c r="M150" s="5"/>
      <c r="O150" s="5"/>
      <c r="Q150" s="5"/>
      <c r="S150" s="5"/>
      <c r="U150" s="5"/>
      <c r="W150" s="5"/>
      <c r="Y150" s="5"/>
    </row>
    <row r="151" spans="6:25" ht="15.75" customHeight="1" x14ac:dyDescent="0.3">
      <c r="F151" s="5"/>
      <c r="I151" s="6"/>
      <c r="K151" s="5"/>
      <c r="M151" s="5"/>
      <c r="O151" s="5"/>
      <c r="Q151" s="5"/>
      <c r="S151" s="5"/>
      <c r="U151" s="5"/>
      <c r="W151" s="5"/>
      <c r="Y151" s="5"/>
    </row>
    <row r="152" spans="6:25" ht="15.75" customHeight="1" x14ac:dyDescent="0.3">
      <c r="F152" s="5"/>
      <c r="I152" s="6"/>
      <c r="K152" s="5"/>
      <c r="M152" s="5"/>
      <c r="O152" s="5"/>
      <c r="Q152" s="5"/>
      <c r="S152" s="5"/>
      <c r="U152" s="5"/>
      <c r="W152" s="5"/>
      <c r="Y152" s="5"/>
    </row>
    <row r="153" spans="6:25" ht="15.75" customHeight="1" x14ac:dyDescent="0.3">
      <c r="F153" s="5"/>
      <c r="I153" s="6"/>
      <c r="K153" s="5"/>
      <c r="M153" s="5"/>
      <c r="O153" s="5"/>
      <c r="Q153" s="5"/>
      <c r="S153" s="5"/>
      <c r="U153" s="5"/>
      <c r="W153" s="5"/>
      <c r="Y153" s="5"/>
    </row>
    <row r="154" spans="6:25" ht="15.75" customHeight="1" x14ac:dyDescent="0.3">
      <c r="F154" s="5"/>
      <c r="I154" s="6"/>
      <c r="K154" s="5"/>
      <c r="M154" s="5"/>
      <c r="O154" s="5"/>
      <c r="Q154" s="5"/>
      <c r="S154" s="5"/>
      <c r="U154" s="5"/>
      <c r="W154" s="5"/>
      <c r="Y154" s="5"/>
    </row>
    <row r="155" spans="6:25" ht="15.75" customHeight="1" x14ac:dyDescent="0.3">
      <c r="F155" s="5"/>
      <c r="I155" s="6"/>
      <c r="K155" s="5"/>
      <c r="M155" s="5"/>
      <c r="O155" s="5"/>
      <c r="Q155" s="5"/>
      <c r="S155" s="5"/>
      <c r="U155" s="5"/>
      <c r="W155" s="5"/>
      <c r="Y155" s="5"/>
    </row>
    <row r="156" spans="6:25" ht="15.75" customHeight="1" x14ac:dyDescent="0.3">
      <c r="F156" s="5"/>
      <c r="I156" s="6"/>
      <c r="K156" s="5"/>
      <c r="M156" s="5"/>
      <c r="O156" s="5"/>
      <c r="Q156" s="5"/>
      <c r="S156" s="5"/>
      <c r="U156" s="5"/>
      <c r="W156" s="5"/>
      <c r="Y156" s="5"/>
    </row>
    <row r="157" spans="6:25" ht="15.75" customHeight="1" x14ac:dyDescent="0.3">
      <c r="F157" s="5"/>
      <c r="I157" s="6"/>
      <c r="K157" s="5"/>
      <c r="M157" s="5"/>
      <c r="O157" s="5"/>
      <c r="Q157" s="5"/>
      <c r="S157" s="5"/>
      <c r="U157" s="5"/>
      <c r="W157" s="5"/>
      <c r="Y157" s="5"/>
    </row>
    <row r="158" spans="6:25" ht="15.75" customHeight="1" x14ac:dyDescent="0.3">
      <c r="F158" s="5"/>
      <c r="I158" s="6"/>
      <c r="K158" s="5"/>
      <c r="M158" s="5"/>
      <c r="O158" s="5"/>
      <c r="Q158" s="5"/>
      <c r="S158" s="5"/>
      <c r="U158" s="5"/>
      <c r="W158" s="5"/>
      <c r="Y158" s="5"/>
    </row>
    <row r="159" spans="6:25" ht="15.75" customHeight="1" x14ac:dyDescent="0.3">
      <c r="F159" s="5"/>
      <c r="I159" s="6"/>
      <c r="K159" s="5"/>
      <c r="M159" s="5"/>
      <c r="O159" s="5"/>
      <c r="Q159" s="5"/>
      <c r="S159" s="5"/>
      <c r="U159" s="5"/>
      <c r="W159" s="5"/>
      <c r="Y159" s="5"/>
    </row>
    <row r="160" spans="6:25" ht="15.75" customHeight="1" x14ac:dyDescent="0.3">
      <c r="F160" s="5"/>
      <c r="I160" s="6"/>
      <c r="K160" s="5"/>
      <c r="M160" s="5"/>
      <c r="O160" s="5"/>
      <c r="Q160" s="5"/>
      <c r="S160" s="5"/>
      <c r="U160" s="5"/>
      <c r="W160" s="5"/>
      <c r="Y160" s="5"/>
    </row>
    <row r="161" spans="6:25" ht="15.75" customHeight="1" x14ac:dyDescent="0.3">
      <c r="F161" s="5"/>
      <c r="I161" s="6"/>
      <c r="K161" s="5"/>
      <c r="M161" s="5"/>
      <c r="O161" s="5"/>
      <c r="Q161" s="5"/>
      <c r="S161" s="5"/>
      <c r="U161" s="5"/>
      <c r="W161" s="5"/>
      <c r="Y161" s="5"/>
    </row>
    <row r="162" spans="6:25" ht="15.75" customHeight="1" x14ac:dyDescent="0.3">
      <c r="F162" s="5"/>
      <c r="I162" s="6"/>
      <c r="K162" s="5"/>
      <c r="M162" s="5"/>
      <c r="O162" s="5"/>
      <c r="Q162" s="5"/>
      <c r="S162" s="5"/>
      <c r="U162" s="5"/>
      <c r="W162" s="5"/>
      <c r="Y162" s="5"/>
    </row>
    <row r="163" spans="6:25" ht="15.75" customHeight="1" x14ac:dyDescent="0.3">
      <c r="F163" s="5"/>
      <c r="I163" s="6"/>
      <c r="K163" s="5"/>
      <c r="M163" s="5"/>
      <c r="O163" s="5"/>
      <c r="Q163" s="5"/>
      <c r="S163" s="5"/>
      <c r="U163" s="5"/>
      <c r="W163" s="5"/>
      <c r="Y163" s="5"/>
    </row>
    <row r="164" spans="6:25" ht="15.75" customHeight="1" x14ac:dyDescent="0.3">
      <c r="F164" s="5"/>
      <c r="I164" s="6"/>
      <c r="K164" s="5"/>
      <c r="M164" s="5"/>
      <c r="O164" s="5"/>
      <c r="Q164" s="5"/>
      <c r="S164" s="5"/>
      <c r="U164" s="5"/>
      <c r="W164" s="5"/>
      <c r="Y164" s="5"/>
    </row>
    <row r="165" spans="6:25" ht="15.75" customHeight="1" x14ac:dyDescent="0.3">
      <c r="F165" s="5"/>
      <c r="I165" s="6"/>
      <c r="K165" s="5"/>
      <c r="M165" s="5"/>
      <c r="O165" s="5"/>
      <c r="Q165" s="5"/>
      <c r="S165" s="5"/>
      <c r="U165" s="5"/>
      <c r="W165" s="5"/>
      <c r="Y165" s="5"/>
    </row>
    <row r="166" spans="6:25" ht="15.75" customHeight="1" x14ac:dyDescent="0.3">
      <c r="F166" s="5"/>
      <c r="I166" s="6"/>
      <c r="K166" s="5"/>
      <c r="M166" s="5"/>
      <c r="O166" s="5"/>
      <c r="Q166" s="5"/>
      <c r="S166" s="5"/>
      <c r="U166" s="5"/>
      <c r="W166" s="5"/>
      <c r="Y166" s="5"/>
    </row>
    <row r="167" spans="6:25" ht="15.75" customHeight="1" x14ac:dyDescent="0.3">
      <c r="F167" s="5"/>
      <c r="I167" s="6"/>
      <c r="K167" s="5"/>
      <c r="M167" s="5"/>
      <c r="O167" s="5"/>
      <c r="Q167" s="5"/>
      <c r="S167" s="5"/>
      <c r="U167" s="5"/>
      <c r="W167" s="5"/>
      <c r="Y167" s="5"/>
    </row>
    <row r="168" spans="6:25" ht="15.75" customHeight="1" x14ac:dyDescent="0.3">
      <c r="F168" s="5"/>
      <c r="I168" s="6"/>
      <c r="K168" s="5"/>
      <c r="M168" s="5"/>
      <c r="O168" s="5"/>
      <c r="Q168" s="5"/>
      <c r="S168" s="5"/>
      <c r="U168" s="5"/>
      <c r="W168" s="5"/>
      <c r="Y168" s="5"/>
    </row>
    <row r="169" spans="6:25" ht="15.75" customHeight="1" x14ac:dyDescent="0.3">
      <c r="F169" s="5"/>
      <c r="I169" s="6"/>
      <c r="K169" s="5"/>
      <c r="M169" s="5"/>
      <c r="O169" s="5"/>
      <c r="Q169" s="5"/>
      <c r="S169" s="5"/>
      <c r="U169" s="5"/>
      <c r="W169" s="5"/>
      <c r="Y169" s="5"/>
    </row>
    <row r="170" spans="6:25" ht="15.75" customHeight="1" x14ac:dyDescent="0.3">
      <c r="F170" s="5"/>
      <c r="I170" s="6"/>
      <c r="K170" s="5"/>
      <c r="M170" s="5"/>
      <c r="O170" s="5"/>
      <c r="Q170" s="5"/>
      <c r="S170" s="5"/>
      <c r="U170" s="5"/>
      <c r="W170" s="5"/>
      <c r="Y170" s="5"/>
    </row>
    <row r="171" spans="6:25" ht="15.75" customHeight="1" x14ac:dyDescent="0.3">
      <c r="F171" s="5"/>
      <c r="I171" s="6"/>
      <c r="K171" s="5"/>
      <c r="M171" s="5"/>
      <c r="O171" s="5"/>
      <c r="Q171" s="5"/>
      <c r="S171" s="5"/>
      <c r="U171" s="5"/>
      <c r="W171" s="5"/>
      <c r="Y171" s="5"/>
    </row>
    <row r="172" spans="6:25" ht="15.75" customHeight="1" x14ac:dyDescent="0.3">
      <c r="F172" s="5"/>
      <c r="I172" s="6"/>
      <c r="K172" s="5"/>
      <c r="M172" s="5"/>
      <c r="O172" s="5"/>
      <c r="Q172" s="5"/>
      <c r="S172" s="5"/>
      <c r="U172" s="5"/>
      <c r="W172" s="5"/>
      <c r="Y172" s="5"/>
    </row>
    <row r="173" spans="6:25" ht="15.75" customHeight="1" x14ac:dyDescent="0.3">
      <c r="F173" s="5"/>
      <c r="I173" s="6"/>
      <c r="K173" s="5"/>
      <c r="M173" s="5"/>
      <c r="O173" s="5"/>
      <c r="Q173" s="5"/>
      <c r="S173" s="5"/>
      <c r="U173" s="5"/>
      <c r="W173" s="5"/>
      <c r="Y173" s="5"/>
    </row>
    <row r="174" spans="6:25" ht="15.75" customHeight="1" x14ac:dyDescent="0.3">
      <c r="F174" s="5"/>
      <c r="I174" s="6"/>
      <c r="K174" s="5"/>
      <c r="M174" s="5"/>
      <c r="O174" s="5"/>
      <c r="Q174" s="5"/>
      <c r="S174" s="5"/>
      <c r="U174" s="5"/>
      <c r="W174" s="5"/>
      <c r="Y174" s="5"/>
    </row>
    <row r="175" spans="6:25" ht="15.75" customHeight="1" x14ac:dyDescent="0.3">
      <c r="F175" s="5"/>
      <c r="I175" s="6"/>
      <c r="K175" s="5"/>
      <c r="M175" s="5"/>
      <c r="O175" s="5"/>
      <c r="Q175" s="5"/>
      <c r="S175" s="5"/>
      <c r="U175" s="5"/>
      <c r="W175" s="5"/>
      <c r="Y175" s="5"/>
    </row>
    <row r="176" spans="6:25" ht="15.75" customHeight="1" x14ac:dyDescent="0.3">
      <c r="F176" s="5"/>
      <c r="I176" s="6"/>
      <c r="K176" s="5"/>
      <c r="M176" s="5"/>
      <c r="O176" s="5"/>
      <c r="Q176" s="5"/>
      <c r="S176" s="5"/>
      <c r="U176" s="5"/>
      <c r="W176" s="5"/>
      <c r="Y176" s="5"/>
    </row>
    <row r="177" spans="6:25" ht="15.75" customHeight="1" x14ac:dyDescent="0.3">
      <c r="F177" s="5"/>
      <c r="I177" s="6"/>
      <c r="K177" s="5"/>
      <c r="M177" s="5"/>
      <c r="O177" s="5"/>
      <c r="Q177" s="5"/>
      <c r="S177" s="5"/>
      <c r="U177" s="5"/>
      <c r="W177" s="5"/>
      <c r="Y177" s="5"/>
    </row>
    <row r="178" spans="6:25" ht="15.75" customHeight="1" x14ac:dyDescent="0.3">
      <c r="F178" s="5"/>
      <c r="I178" s="6"/>
      <c r="K178" s="5"/>
      <c r="M178" s="5"/>
      <c r="O178" s="5"/>
      <c r="Q178" s="5"/>
      <c r="S178" s="5"/>
      <c r="U178" s="5"/>
      <c r="W178" s="5"/>
      <c r="Y178" s="5"/>
    </row>
    <row r="179" spans="6:25" ht="15.75" customHeight="1" x14ac:dyDescent="0.3">
      <c r="F179" s="5"/>
      <c r="I179" s="6"/>
      <c r="K179" s="5"/>
      <c r="M179" s="5"/>
      <c r="O179" s="5"/>
      <c r="Q179" s="5"/>
      <c r="S179" s="5"/>
      <c r="U179" s="5"/>
      <c r="W179" s="5"/>
      <c r="Y179" s="5"/>
    </row>
    <row r="180" spans="6:25" ht="15.75" customHeight="1" x14ac:dyDescent="0.3">
      <c r="F180" s="5"/>
      <c r="I180" s="6"/>
      <c r="K180" s="5"/>
      <c r="M180" s="5"/>
      <c r="O180" s="5"/>
      <c r="Q180" s="5"/>
      <c r="S180" s="5"/>
      <c r="U180" s="5"/>
      <c r="W180" s="5"/>
      <c r="Y180" s="5"/>
    </row>
    <row r="181" spans="6:25" ht="15.75" customHeight="1" x14ac:dyDescent="0.3">
      <c r="F181" s="5"/>
      <c r="I181" s="6"/>
      <c r="K181" s="5"/>
      <c r="M181" s="5"/>
      <c r="O181" s="5"/>
      <c r="Q181" s="5"/>
      <c r="S181" s="5"/>
      <c r="U181" s="5"/>
      <c r="W181" s="5"/>
      <c r="Y181" s="5"/>
    </row>
    <row r="182" spans="6:25" ht="15.75" customHeight="1" x14ac:dyDescent="0.3">
      <c r="F182" s="5"/>
      <c r="I182" s="6"/>
      <c r="K182" s="5"/>
      <c r="M182" s="5"/>
      <c r="O182" s="5"/>
      <c r="Q182" s="5"/>
      <c r="S182" s="5"/>
      <c r="U182" s="5"/>
      <c r="W182" s="5"/>
      <c r="Y182" s="5"/>
    </row>
    <row r="183" spans="6:25" ht="15.75" customHeight="1" x14ac:dyDescent="0.3">
      <c r="F183" s="5"/>
      <c r="I183" s="6"/>
      <c r="K183" s="5"/>
      <c r="M183" s="5"/>
      <c r="O183" s="5"/>
      <c r="Q183" s="5"/>
      <c r="S183" s="5"/>
      <c r="U183" s="5"/>
      <c r="W183" s="5"/>
      <c r="Y183" s="5"/>
    </row>
    <row r="184" spans="6:25" ht="15.75" customHeight="1" x14ac:dyDescent="0.3">
      <c r="F184" s="5"/>
      <c r="I184" s="6"/>
      <c r="K184" s="5"/>
      <c r="M184" s="5"/>
      <c r="O184" s="5"/>
      <c r="Q184" s="5"/>
      <c r="S184" s="5"/>
      <c r="U184" s="5"/>
      <c r="W184" s="5"/>
      <c r="Y184" s="5"/>
    </row>
    <row r="185" spans="6:25" ht="15.75" customHeight="1" x14ac:dyDescent="0.3">
      <c r="F185" s="5"/>
      <c r="I185" s="6"/>
      <c r="K185" s="5"/>
      <c r="M185" s="5"/>
      <c r="O185" s="5"/>
      <c r="Q185" s="5"/>
      <c r="S185" s="5"/>
      <c r="U185" s="5"/>
      <c r="W185" s="5"/>
      <c r="Y185" s="5"/>
    </row>
    <row r="186" spans="6:25" ht="15.75" customHeight="1" x14ac:dyDescent="0.3">
      <c r="F186" s="5"/>
      <c r="I186" s="6"/>
      <c r="K186" s="5"/>
      <c r="M186" s="5"/>
      <c r="O186" s="5"/>
      <c r="Q186" s="5"/>
      <c r="S186" s="5"/>
      <c r="U186" s="5"/>
      <c r="W186" s="5"/>
      <c r="Y186" s="5"/>
    </row>
    <row r="187" spans="6:25" ht="15.75" customHeight="1" x14ac:dyDescent="0.3">
      <c r="F187" s="5"/>
      <c r="I187" s="6"/>
      <c r="K187" s="5"/>
      <c r="M187" s="5"/>
      <c r="O187" s="5"/>
      <c r="Q187" s="5"/>
      <c r="S187" s="5"/>
      <c r="U187" s="5"/>
      <c r="W187" s="5"/>
      <c r="Y187" s="5"/>
    </row>
    <row r="188" spans="6:25" ht="15.75" customHeight="1" x14ac:dyDescent="0.3">
      <c r="F188" s="5"/>
      <c r="I188" s="6"/>
      <c r="K188" s="5"/>
      <c r="M188" s="5"/>
      <c r="O188" s="5"/>
      <c r="Q188" s="5"/>
      <c r="S188" s="5"/>
      <c r="U188" s="5"/>
      <c r="W188" s="5"/>
      <c r="Y188" s="5"/>
    </row>
    <row r="189" spans="6:25" ht="15.75" customHeight="1" x14ac:dyDescent="0.3">
      <c r="F189" s="5"/>
      <c r="I189" s="6"/>
      <c r="K189" s="5"/>
      <c r="M189" s="5"/>
      <c r="O189" s="5"/>
      <c r="Q189" s="5"/>
      <c r="S189" s="5"/>
      <c r="U189" s="5"/>
      <c r="W189" s="5"/>
      <c r="Y189" s="5"/>
    </row>
    <row r="190" spans="6:25" ht="15.75" customHeight="1" x14ac:dyDescent="0.3">
      <c r="F190" s="5"/>
      <c r="I190" s="6"/>
      <c r="K190" s="5"/>
      <c r="M190" s="5"/>
      <c r="O190" s="5"/>
      <c r="Q190" s="5"/>
      <c r="S190" s="5"/>
      <c r="U190" s="5"/>
      <c r="W190" s="5"/>
      <c r="Y190" s="5"/>
    </row>
    <row r="191" spans="6:25" ht="15.75" customHeight="1" x14ac:dyDescent="0.3">
      <c r="F191" s="5"/>
      <c r="I191" s="6"/>
      <c r="K191" s="5"/>
      <c r="M191" s="5"/>
      <c r="O191" s="5"/>
      <c r="Q191" s="5"/>
      <c r="S191" s="5"/>
      <c r="U191" s="5"/>
      <c r="W191" s="5"/>
      <c r="Y191" s="5"/>
    </row>
    <row r="192" spans="6:25" ht="15.75" customHeight="1" x14ac:dyDescent="0.3">
      <c r="F192" s="5"/>
      <c r="I192" s="6"/>
      <c r="K192" s="5"/>
      <c r="M192" s="5"/>
      <c r="O192" s="5"/>
      <c r="Q192" s="5"/>
      <c r="S192" s="5"/>
      <c r="U192" s="5"/>
      <c r="W192" s="5"/>
      <c r="Y192" s="5"/>
    </row>
    <row r="193" spans="6:25" ht="15.75" customHeight="1" x14ac:dyDescent="0.3">
      <c r="F193" s="5"/>
      <c r="I193" s="6"/>
      <c r="K193" s="5"/>
      <c r="M193" s="5"/>
      <c r="O193" s="5"/>
      <c r="Q193" s="5"/>
      <c r="S193" s="5"/>
      <c r="U193" s="5"/>
      <c r="W193" s="5"/>
      <c r="Y193" s="5"/>
    </row>
    <row r="194" spans="6:25" ht="15.75" customHeight="1" x14ac:dyDescent="0.3">
      <c r="F194" s="5"/>
      <c r="I194" s="6"/>
      <c r="K194" s="5"/>
      <c r="M194" s="5"/>
      <c r="O194" s="5"/>
      <c r="Q194" s="5"/>
      <c r="S194" s="5"/>
      <c r="U194" s="5"/>
      <c r="W194" s="5"/>
      <c r="Y194" s="5"/>
    </row>
    <row r="195" spans="6:25" ht="15.75" customHeight="1" x14ac:dyDescent="0.3">
      <c r="F195" s="5"/>
      <c r="I195" s="6"/>
      <c r="K195" s="5"/>
      <c r="M195" s="5"/>
      <c r="O195" s="5"/>
      <c r="Q195" s="5"/>
      <c r="S195" s="5"/>
      <c r="U195" s="5"/>
      <c r="W195" s="5"/>
      <c r="Y195" s="5"/>
    </row>
    <row r="196" spans="6:25" ht="15.75" customHeight="1" x14ac:dyDescent="0.3">
      <c r="F196" s="5"/>
      <c r="I196" s="6"/>
      <c r="K196" s="5"/>
      <c r="M196" s="5"/>
      <c r="O196" s="5"/>
      <c r="Q196" s="5"/>
      <c r="S196" s="5"/>
      <c r="U196" s="5"/>
      <c r="W196" s="5"/>
      <c r="Y196" s="5"/>
    </row>
    <row r="197" spans="6:25" ht="15.75" customHeight="1" x14ac:dyDescent="0.3">
      <c r="F197" s="5"/>
      <c r="I197" s="6"/>
      <c r="K197" s="5"/>
      <c r="M197" s="5"/>
      <c r="O197" s="5"/>
      <c r="Q197" s="5"/>
      <c r="S197" s="5"/>
      <c r="U197" s="5"/>
      <c r="W197" s="5"/>
      <c r="Y197" s="5"/>
    </row>
    <row r="198" spans="6:25" ht="15.75" customHeight="1" x14ac:dyDescent="0.3">
      <c r="F198" s="5"/>
      <c r="I198" s="6"/>
      <c r="K198" s="5"/>
      <c r="M198" s="5"/>
      <c r="O198" s="5"/>
      <c r="Q198" s="5"/>
      <c r="S198" s="5"/>
      <c r="U198" s="5"/>
      <c r="W198" s="5"/>
      <c r="Y198" s="5"/>
    </row>
    <row r="199" spans="6:25" ht="15.75" customHeight="1" x14ac:dyDescent="0.3">
      <c r="F199" s="5"/>
      <c r="I199" s="6"/>
      <c r="K199" s="5"/>
      <c r="M199" s="5"/>
      <c r="O199" s="5"/>
      <c r="Q199" s="5"/>
      <c r="S199" s="5"/>
      <c r="U199" s="5"/>
      <c r="W199" s="5"/>
      <c r="Y199" s="5"/>
    </row>
    <row r="200" spans="6:25" ht="15.75" customHeight="1" x14ac:dyDescent="0.3">
      <c r="F200" s="5"/>
      <c r="I200" s="6"/>
      <c r="K200" s="5"/>
      <c r="M200" s="5"/>
      <c r="O200" s="5"/>
      <c r="Q200" s="5"/>
      <c r="S200" s="5"/>
      <c r="U200" s="5"/>
      <c r="W200" s="5"/>
      <c r="Y200" s="5"/>
    </row>
    <row r="201" spans="6:25" ht="15.75" customHeight="1" x14ac:dyDescent="0.3">
      <c r="F201" s="5"/>
      <c r="I201" s="6"/>
      <c r="K201" s="5"/>
      <c r="M201" s="5"/>
      <c r="O201" s="5"/>
      <c r="Q201" s="5"/>
      <c r="S201" s="5"/>
      <c r="U201" s="5"/>
      <c r="W201" s="5"/>
      <c r="Y201" s="5"/>
    </row>
    <row r="202" spans="6:25" ht="15.75" customHeight="1" x14ac:dyDescent="0.3">
      <c r="F202" s="5"/>
      <c r="I202" s="6"/>
      <c r="K202" s="5"/>
      <c r="M202" s="5"/>
      <c r="O202" s="5"/>
      <c r="Q202" s="5"/>
      <c r="S202" s="5"/>
      <c r="U202" s="5"/>
      <c r="W202" s="5"/>
      <c r="Y202" s="5"/>
    </row>
    <row r="203" spans="6:25" ht="15.75" customHeight="1" x14ac:dyDescent="0.3">
      <c r="F203" s="5"/>
      <c r="I203" s="6"/>
      <c r="K203" s="5"/>
      <c r="M203" s="5"/>
      <c r="O203" s="5"/>
      <c r="Q203" s="5"/>
      <c r="S203" s="5"/>
      <c r="U203" s="5"/>
      <c r="W203" s="5"/>
      <c r="Y203" s="5"/>
    </row>
    <row r="204" spans="6:25" ht="15.75" customHeight="1" x14ac:dyDescent="0.3">
      <c r="F204" s="5"/>
      <c r="I204" s="6"/>
      <c r="K204" s="5"/>
      <c r="M204" s="5"/>
      <c r="O204" s="5"/>
      <c r="Q204" s="5"/>
      <c r="S204" s="5"/>
      <c r="U204" s="5"/>
      <c r="W204" s="5"/>
      <c r="Y204" s="5"/>
    </row>
    <row r="205" spans="6:25" ht="15.75" customHeight="1" x14ac:dyDescent="0.3">
      <c r="F205" s="5"/>
      <c r="I205" s="6"/>
      <c r="K205" s="5"/>
      <c r="M205" s="5"/>
      <c r="O205" s="5"/>
      <c r="Q205" s="5"/>
      <c r="S205" s="5"/>
      <c r="U205" s="5"/>
      <c r="W205" s="5"/>
      <c r="Y205" s="5"/>
    </row>
    <row r="206" spans="6:25" ht="15.75" customHeight="1" x14ac:dyDescent="0.3">
      <c r="F206" s="5"/>
      <c r="I206" s="6"/>
      <c r="K206" s="5"/>
      <c r="M206" s="5"/>
      <c r="O206" s="5"/>
      <c r="Q206" s="5"/>
      <c r="S206" s="5"/>
      <c r="U206" s="5"/>
      <c r="W206" s="5"/>
      <c r="Y206" s="5"/>
    </row>
    <row r="207" spans="6:25" ht="15.75" customHeight="1" x14ac:dyDescent="0.3">
      <c r="F207" s="5"/>
      <c r="I207" s="6"/>
      <c r="K207" s="5"/>
      <c r="M207" s="5"/>
      <c r="O207" s="5"/>
      <c r="Q207" s="5"/>
      <c r="S207" s="5"/>
      <c r="U207" s="5"/>
      <c r="W207" s="5"/>
      <c r="Y207" s="5"/>
    </row>
    <row r="208" spans="6:25" ht="15.75" customHeight="1" x14ac:dyDescent="0.3">
      <c r="F208" s="5"/>
      <c r="I208" s="6"/>
      <c r="K208" s="5"/>
      <c r="M208" s="5"/>
      <c r="O208" s="5"/>
      <c r="Q208" s="5"/>
      <c r="S208" s="5"/>
      <c r="U208" s="5"/>
      <c r="W208" s="5"/>
      <c r="Y208" s="5"/>
    </row>
    <row r="209" spans="6:25" ht="15.75" customHeight="1" x14ac:dyDescent="0.3">
      <c r="F209" s="5"/>
      <c r="I209" s="6"/>
      <c r="K209" s="5"/>
      <c r="M209" s="5"/>
      <c r="O209" s="5"/>
      <c r="Q209" s="5"/>
      <c r="S209" s="5"/>
      <c r="U209" s="5"/>
      <c r="W209" s="5"/>
      <c r="Y209" s="5"/>
    </row>
    <row r="210" spans="6:25" ht="15.75" customHeight="1" x14ac:dyDescent="0.3">
      <c r="F210" s="5"/>
      <c r="I210" s="6"/>
      <c r="K210" s="5"/>
      <c r="M210" s="5"/>
      <c r="O210" s="5"/>
      <c r="Q210" s="5"/>
      <c r="S210" s="5"/>
      <c r="U210" s="5"/>
      <c r="W210" s="5"/>
      <c r="Y210" s="5"/>
    </row>
    <row r="211" spans="6:25" ht="15.75" customHeight="1" x14ac:dyDescent="0.3">
      <c r="F211" s="5"/>
      <c r="I211" s="6"/>
      <c r="K211" s="5"/>
      <c r="M211" s="5"/>
      <c r="O211" s="5"/>
      <c r="Q211" s="5"/>
      <c r="S211" s="5"/>
      <c r="U211" s="5"/>
      <c r="W211" s="5"/>
      <c r="Y211" s="5"/>
    </row>
    <row r="212" spans="6:25" ht="15.75" customHeight="1" x14ac:dyDescent="0.3">
      <c r="F212" s="5"/>
      <c r="I212" s="6"/>
      <c r="K212" s="5"/>
      <c r="M212" s="5"/>
      <c r="O212" s="5"/>
      <c r="Q212" s="5"/>
      <c r="S212" s="5"/>
      <c r="U212" s="5"/>
      <c r="W212" s="5"/>
      <c r="Y212" s="5"/>
    </row>
    <row r="213" spans="6:25" ht="15.75" customHeight="1" x14ac:dyDescent="0.3">
      <c r="F213" s="5"/>
      <c r="I213" s="6"/>
      <c r="K213" s="5"/>
      <c r="M213" s="5"/>
      <c r="O213" s="5"/>
      <c r="Q213" s="5"/>
      <c r="S213" s="5"/>
      <c r="U213" s="5"/>
      <c r="W213" s="5"/>
      <c r="Y213" s="5"/>
    </row>
    <row r="214" spans="6:25" ht="15.75" customHeight="1" x14ac:dyDescent="0.3">
      <c r="F214" s="5"/>
      <c r="I214" s="6"/>
      <c r="K214" s="5"/>
      <c r="M214" s="5"/>
      <c r="O214" s="5"/>
      <c r="Q214" s="5"/>
      <c r="S214" s="5"/>
      <c r="U214" s="5"/>
      <c r="W214" s="5"/>
      <c r="Y214" s="5"/>
    </row>
    <row r="215" spans="6:25" ht="15.75" customHeight="1" x14ac:dyDescent="0.3">
      <c r="F215" s="5"/>
      <c r="I215" s="6"/>
      <c r="K215" s="5"/>
      <c r="M215" s="5"/>
      <c r="O215" s="5"/>
      <c r="Q215" s="5"/>
      <c r="S215" s="5"/>
      <c r="U215" s="5"/>
      <c r="W215" s="5"/>
      <c r="Y215" s="5"/>
    </row>
    <row r="216" spans="6:25" ht="15.75" customHeight="1" x14ac:dyDescent="0.3">
      <c r="F216" s="5"/>
      <c r="I216" s="6"/>
      <c r="K216" s="5"/>
      <c r="M216" s="5"/>
      <c r="O216" s="5"/>
      <c r="Q216" s="5"/>
      <c r="S216" s="5"/>
      <c r="U216" s="5"/>
      <c r="W216" s="5"/>
      <c r="Y216" s="5"/>
    </row>
    <row r="217" spans="6:25" ht="15.75" customHeight="1" x14ac:dyDescent="0.3">
      <c r="F217" s="5"/>
      <c r="I217" s="6"/>
      <c r="K217" s="5"/>
      <c r="M217" s="5"/>
      <c r="O217" s="5"/>
      <c r="Q217" s="5"/>
      <c r="S217" s="5"/>
      <c r="U217" s="5"/>
      <c r="W217" s="5"/>
      <c r="Y217" s="5"/>
    </row>
    <row r="218" spans="6:25" ht="15.75" customHeight="1" x14ac:dyDescent="0.3">
      <c r="F218" s="5"/>
      <c r="I218" s="6"/>
      <c r="K218" s="5"/>
      <c r="M218" s="5"/>
      <c r="O218" s="5"/>
      <c r="Q218" s="5"/>
      <c r="S218" s="5"/>
      <c r="U218" s="5"/>
      <c r="W218" s="5"/>
      <c r="Y218" s="5"/>
    </row>
    <row r="219" spans="6:25" ht="15.75" customHeight="1" x14ac:dyDescent="0.3">
      <c r="F219" s="5"/>
      <c r="I219" s="6"/>
      <c r="K219" s="5"/>
      <c r="M219" s="5"/>
      <c r="O219" s="5"/>
      <c r="Q219" s="5"/>
      <c r="S219" s="5"/>
      <c r="U219" s="5"/>
      <c r="W219" s="5"/>
      <c r="Y219" s="5"/>
    </row>
    <row r="220" spans="6:25" ht="15.75" customHeight="1" x14ac:dyDescent="0.3">
      <c r="F220" s="5"/>
      <c r="I220" s="6"/>
      <c r="K220" s="5"/>
      <c r="M220" s="5"/>
      <c r="O220" s="5"/>
      <c r="Q220" s="5"/>
      <c r="S220" s="5"/>
      <c r="U220" s="5"/>
      <c r="W220" s="5"/>
      <c r="Y220" s="5"/>
    </row>
    <row r="221" spans="6:25" ht="15.75" customHeight="1" x14ac:dyDescent="0.3">
      <c r="F221" s="5"/>
      <c r="I221" s="6"/>
      <c r="K221" s="5"/>
      <c r="M221" s="5"/>
      <c r="O221" s="5"/>
      <c r="Q221" s="5"/>
      <c r="S221" s="5"/>
      <c r="U221" s="5"/>
      <c r="W221" s="5"/>
      <c r="Y221" s="5"/>
    </row>
    <row r="222" spans="6:25" ht="15.75" customHeight="1" x14ac:dyDescent="0.3">
      <c r="F222" s="5"/>
      <c r="I222" s="6"/>
      <c r="K222" s="5"/>
      <c r="M222" s="5"/>
      <c r="O222" s="5"/>
      <c r="Q222" s="5"/>
      <c r="S222" s="5"/>
      <c r="U222" s="5"/>
      <c r="W222" s="5"/>
      <c r="Y222" s="5"/>
    </row>
    <row r="223" spans="6:25" ht="15.75" customHeight="1" x14ac:dyDescent="0.3">
      <c r="F223" s="5"/>
      <c r="I223" s="6"/>
      <c r="K223" s="5"/>
      <c r="M223" s="5"/>
      <c r="O223" s="5"/>
      <c r="Q223" s="5"/>
      <c r="S223" s="5"/>
      <c r="U223" s="5"/>
      <c r="W223" s="5"/>
      <c r="Y223" s="5"/>
    </row>
    <row r="224" spans="6:25" ht="15.75" customHeight="1" x14ac:dyDescent="0.3">
      <c r="F224" s="5"/>
      <c r="I224" s="6"/>
      <c r="K224" s="5"/>
      <c r="M224" s="5"/>
      <c r="O224" s="5"/>
      <c r="Q224" s="5"/>
      <c r="S224" s="5"/>
      <c r="U224" s="5"/>
      <c r="W224" s="5"/>
      <c r="Y224" s="5"/>
    </row>
    <row r="225" spans="6:25" ht="15.75" customHeight="1" x14ac:dyDescent="0.3">
      <c r="F225" s="5"/>
      <c r="I225" s="6"/>
      <c r="K225" s="5"/>
      <c r="M225" s="5"/>
      <c r="O225" s="5"/>
      <c r="Q225" s="5"/>
      <c r="S225" s="5"/>
      <c r="U225" s="5"/>
      <c r="W225" s="5"/>
      <c r="Y225" s="5"/>
    </row>
    <row r="226" spans="6:25" ht="15.75" customHeight="1" x14ac:dyDescent="0.3">
      <c r="F226" s="5"/>
      <c r="I226" s="6"/>
      <c r="K226" s="5"/>
      <c r="M226" s="5"/>
      <c r="O226" s="5"/>
      <c r="Q226" s="5"/>
      <c r="S226" s="5"/>
      <c r="U226" s="5"/>
      <c r="W226" s="5"/>
      <c r="Y226" s="5"/>
    </row>
    <row r="227" spans="6:25" ht="15.75" customHeight="1" x14ac:dyDescent="0.3">
      <c r="F227" s="5"/>
      <c r="I227" s="6"/>
      <c r="K227" s="5"/>
      <c r="M227" s="5"/>
      <c r="O227" s="5"/>
      <c r="Q227" s="5"/>
      <c r="S227" s="5"/>
      <c r="U227" s="5"/>
      <c r="W227" s="5"/>
      <c r="Y227" s="5"/>
    </row>
    <row r="228" spans="6:25" ht="15.75" customHeight="1" x14ac:dyDescent="0.3">
      <c r="F228" s="5"/>
      <c r="I228" s="6"/>
      <c r="K228" s="5"/>
      <c r="M228" s="5"/>
      <c r="O228" s="5"/>
      <c r="Q228" s="5"/>
      <c r="S228" s="5"/>
      <c r="U228" s="5"/>
      <c r="W228" s="5"/>
      <c r="Y228" s="5"/>
    </row>
    <row r="229" spans="6:25" ht="15.75" customHeight="1" x14ac:dyDescent="0.3">
      <c r="F229" s="5"/>
      <c r="I229" s="6"/>
      <c r="K229" s="5"/>
      <c r="M229" s="5"/>
      <c r="O229" s="5"/>
      <c r="Q229" s="5"/>
      <c r="S229" s="5"/>
      <c r="U229" s="5"/>
      <c r="W229" s="5"/>
      <c r="Y229" s="5"/>
    </row>
    <row r="230" spans="6:25" ht="15.75" customHeight="1" x14ac:dyDescent="0.3">
      <c r="F230" s="5"/>
      <c r="I230" s="6"/>
      <c r="K230" s="5"/>
      <c r="M230" s="5"/>
      <c r="O230" s="5"/>
      <c r="Q230" s="5"/>
      <c r="S230" s="5"/>
      <c r="U230" s="5"/>
      <c r="W230" s="5"/>
      <c r="Y230" s="5"/>
    </row>
    <row r="231" spans="6:25" ht="15.75" customHeight="1" x14ac:dyDescent="0.3">
      <c r="F231" s="5"/>
      <c r="I231" s="6"/>
      <c r="K231" s="5"/>
      <c r="M231" s="5"/>
      <c r="O231" s="5"/>
      <c r="Q231" s="5"/>
      <c r="S231" s="5"/>
      <c r="U231" s="5"/>
      <c r="W231" s="5"/>
      <c r="Y231" s="5"/>
    </row>
    <row r="232" spans="6:25" ht="15.75" customHeight="1" x14ac:dyDescent="0.3">
      <c r="F232" s="5"/>
      <c r="I232" s="6"/>
      <c r="K232" s="5"/>
      <c r="M232" s="5"/>
      <c r="O232" s="5"/>
      <c r="Q232" s="5"/>
      <c r="S232" s="5"/>
      <c r="U232" s="5"/>
      <c r="W232" s="5"/>
      <c r="Y232" s="5"/>
    </row>
    <row r="233" spans="6:25" ht="15.75" customHeight="1" x14ac:dyDescent="0.3">
      <c r="F233" s="5"/>
      <c r="I233" s="6"/>
      <c r="K233" s="5"/>
      <c r="M233" s="5"/>
      <c r="O233" s="5"/>
      <c r="Q233" s="5"/>
      <c r="S233" s="5"/>
      <c r="U233" s="5"/>
      <c r="W233" s="5"/>
      <c r="Y233" s="5"/>
    </row>
    <row r="234" spans="6:25" ht="15.75" customHeight="1" x14ac:dyDescent="0.3">
      <c r="F234" s="5"/>
      <c r="I234" s="6"/>
      <c r="K234" s="5"/>
      <c r="M234" s="5"/>
      <c r="O234" s="5"/>
      <c r="Q234" s="5"/>
      <c r="S234" s="5"/>
      <c r="U234" s="5"/>
      <c r="W234" s="5"/>
      <c r="Y234" s="5"/>
    </row>
    <row r="235" spans="6:25" ht="15.75" customHeight="1" x14ac:dyDescent="0.3">
      <c r="F235" s="5"/>
      <c r="I235" s="6"/>
      <c r="K235" s="5"/>
      <c r="M235" s="5"/>
      <c r="O235" s="5"/>
      <c r="Q235" s="5"/>
      <c r="S235" s="5"/>
      <c r="U235" s="5"/>
      <c r="W235" s="5"/>
      <c r="Y235" s="5"/>
    </row>
    <row r="236" spans="6:25" ht="15.75" customHeight="1" x14ac:dyDescent="0.3">
      <c r="F236" s="5"/>
      <c r="I236" s="6"/>
      <c r="K236" s="5"/>
      <c r="M236" s="5"/>
      <c r="O236" s="5"/>
      <c r="Q236" s="5"/>
      <c r="S236" s="5"/>
      <c r="U236" s="5"/>
      <c r="W236" s="5"/>
      <c r="Y236" s="5"/>
    </row>
    <row r="237" spans="6:25" ht="15.75" customHeight="1" x14ac:dyDescent="0.3">
      <c r="F237" s="5"/>
      <c r="I237" s="6"/>
      <c r="K237" s="5"/>
      <c r="M237" s="5"/>
      <c r="O237" s="5"/>
      <c r="Q237" s="5"/>
      <c r="S237" s="5"/>
      <c r="U237" s="5"/>
      <c r="W237" s="5"/>
      <c r="Y237" s="5"/>
    </row>
    <row r="238" spans="6:25" ht="15.75" customHeight="1" x14ac:dyDescent="0.3">
      <c r="F238" s="5"/>
      <c r="I238" s="6"/>
      <c r="K238" s="5"/>
      <c r="M238" s="5"/>
      <c r="O238" s="5"/>
      <c r="Q238" s="5"/>
      <c r="S238" s="5"/>
      <c r="U238" s="5"/>
      <c r="W238" s="5"/>
      <c r="Y238" s="5"/>
    </row>
    <row r="239" spans="6:25" ht="15.75" customHeight="1" x14ac:dyDescent="0.3">
      <c r="F239" s="5"/>
      <c r="I239" s="6"/>
      <c r="K239" s="5"/>
      <c r="M239" s="5"/>
      <c r="O239" s="5"/>
      <c r="Q239" s="5"/>
      <c r="S239" s="5"/>
      <c r="U239" s="5"/>
      <c r="W239" s="5"/>
      <c r="Y239" s="5"/>
    </row>
    <row r="240" spans="6:25" ht="15.75" customHeight="1" x14ac:dyDescent="0.3">
      <c r="F240" s="5"/>
      <c r="I240" s="6"/>
      <c r="K240" s="5"/>
      <c r="M240" s="5"/>
      <c r="O240" s="5"/>
      <c r="Q240" s="5"/>
      <c r="S240" s="5"/>
      <c r="U240" s="5"/>
      <c r="W240" s="5"/>
      <c r="Y240" s="5"/>
    </row>
    <row r="241" spans="6:25" ht="15.75" customHeight="1" x14ac:dyDescent="0.3">
      <c r="F241" s="5"/>
      <c r="I241" s="6"/>
      <c r="K241" s="5"/>
      <c r="M241" s="5"/>
      <c r="O241" s="5"/>
      <c r="Q241" s="5"/>
      <c r="S241" s="5"/>
      <c r="U241" s="5"/>
      <c r="W241" s="5"/>
      <c r="Y241" s="5"/>
    </row>
    <row r="242" spans="6:25" ht="15.75" customHeight="1" x14ac:dyDescent="0.3">
      <c r="F242" s="5"/>
      <c r="I242" s="6"/>
      <c r="K242" s="5"/>
      <c r="M242" s="5"/>
      <c r="O242" s="5"/>
      <c r="Q242" s="5"/>
      <c r="S242" s="5"/>
      <c r="U242" s="5"/>
      <c r="W242" s="5"/>
      <c r="Y242" s="5"/>
    </row>
    <row r="243" spans="6:25" ht="15.75" customHeight="1" x14ac:dyDescent="0.3">
      <c r="F243" s="5"/>
      <c r="I243" s="6"/>
      <c r="K243" s="5"/>
      <c r="M243" s="5"/>
      <c r="O243" s="5"/>
      <c r="Q243" s="5"/>
      <c r="S243" s="5"/>
      <c r="U243" s="5"/>
      <c r="W243" s="5"/>
      <c r="Y243" s="5"/>
    </row>
    <row r="244" spans="6:25" ht="15.75" customHeight="1" x14ac:dyDescent="0.3">
      <c r="F244" s="5"/>
      <c r="I244" s="6"/>
      <c r="K244" s="5"/>
      <c r="M244" s="5"/>
      <c r="O244" s="5"/>
      <c r="Q244" s="5"/>
      <c r="S244" s="5"/>
      <c r="U244" s="5"/>
      <c r="W244" s="5"/>
      <c r="Y244" s="5"/>
    </row>
    <row r="245" spans="6:25" ht="15.75" customHeight="1" x14ac:dyDescent="0.3">
      <c r="F245" s="5"/>
      <c r="I245" s="6"/>
      <c r="K245" s="5"/>
      <c r="M245" s="5"/>
      <c r="O245" s="5"/>
      <c r="Q245" s="5"/>
      <c r="S245" s="5"/>
      <c r="U245" s="5"/>
      <c r="W245" s="5"/>
      <c r="Y245" s="5"/>
    </row>
    <row r="246" spans="6:25" ht="15.75" customHeight="1" x14ac:dyDescent="0.3">
      <c r="F246" s="5"/>
      <c r="I246" s="6"/>
      <c r="K246" s="5"/>
      <c r="M246" s="5"/>
      <c r="O246" s="5"/>
      <c r="Q246" s="5"/>
      <c r="S246" s="5"/>
      <c r="U246" s="5"/>
      <c r="W246" s="5"/>
      <c r="Y246" s="5"/>
    </row>
    <row r="247" spans="6:25" ht="15.75" customHeight="1" x14ac:dyDescent="0.3">
      <c r="F247" s="5"/>
      <c r="I247" s="6"/>
      <c r="K247" s="5"/>
      <c r="M247" s="5"/>
      <c r="O247" s="5"/>
      <c r="Q247" s="5"/>
      <c r="S247" s="5"/>
      <c r="U247" s="5"/>
      <c r="W247" s="5"/>
      <c r="Y247" s="5"/>
    </row>
    <row r="248" spans="6:25" ht="15.75" customHeight="1" x14ac:dyDescent="0.3">
      <c r="F248" s="5"/>
      <c r="I248" s="6"/>
      <c r="K248" s="5"/>
      <c r="M248" s="5"/>
      <c r="O248" s="5"/>
      <c r="Q248" s="5"/>
      <c r="S248" s="5"/>
      <c r="U248" s="5"/>
      <c r="W248" s="5"/>
      <c r="Y248" s="5"/>
    </row>
    <row r="249" spans="6:25" ht="15.75" customHeight="1" x14ac:dyDescent="0.3">
      <c r="F249" s="5"/>
      <c r="I249" s="6"/>
      <c r="K249" s="5"/>
      <c r="M249" s="5"/>
      <c r="O249" s="5"/>
      <c r="Q249" s="5"/>
      <c r="S249" s="5"/>
      <c r="U249" s="5"/>
      <c r="W249" s="5"/>
      <c r="Y249" s="5"/>
    </row>
    <row r="250" spans="6:25" ht="15.75" customHeight="1" x14ac:dyDescent="0.3">
      <c r="F250" s="5"/>
      <c r="I250" s="6"/>
      <c r="K250" s="5"/>
      <c r="M250" s="5"/>
      <c r="O250" s="5"/>
      <c r="Q250" s="5"/>
      <c r="S250" s="5"/>
      <c r="U250" s="5"/>
      <c r="W250" s="5"/>
      <c r="Y250" s="5"/>
    </row>
    <row r="251" spans="6:25" ht="15.75" customHeight="1" x14ac:dyDescent="0.3">
      <c r="F251" s="5"/>
      <c r="I251" s="6"/>
      <c r="K251" s="5"/>
      <c r="M251" s="5"/>
      <c r="O251" s="5"/>
      <c r="Q251" s="5"/>
      <c r="S251" s="5"/>
      <c r="U251" s="5"/>
      <c r="W251" s="5"/>
      <c r="Y251" s="5"/>
    </row>
    <row r="252" spans="6:25" ht="15.75" customHeight="1" x14ac:dyDescent="0.3">
      <c r="F252" s="5"/>
      <c r="I252" s="6"/>
      <c r="K252" s="5"/>
      <c r="M252" s="5"/>
      <c r="O252" s="5"/>
      <c r="Q252" s="5"/>
      <c r="S252" s="5"/>
      <c r="U252" s="5"/>
      <c r="W252" s="5"/>
      <c r="Y252" s="5"/>
    </row>
    <row r="253" spans="6:25" ht="15.75" customHeight="1" x14ac:dyDescent="0.3">
      <c r="F253" s="5"/>
      <c r="I253" s="6"/>
      <c r="K253" s="5"/>
      <c r="M253" s="5"/>
      <c r="O253" s="5"/>
      <c r="Q253" s="5"/>
      <c r="S253" s="5"/>
      <c r="U253" s="5"/>
      <c r="W253" s="5"/>
      <c r="Y253" s="5"/>
    </row>
    <row r="254" spans="6:25" ht="15.75" customHeight="1" x14ac:dyDescent="0.3">
      <c r="F254" s="5"/>
      <c r="I254" s="6"/>
      <c r="K254" s="5"/>
      <c r="M254" s="5"/>
      <c r="O254" s="5"/>
      <c r="Q254" s="5"/>
      <c r="S254" s="5"/>
      <c r="U254" s="5"/>
      <c r="W254" s="5"/>
      <c r="Y254" s="5"/>
    </row>
    <row r="255" spans="6:25" ht="15.75" customHeight="1" x14ac:dyDescent="0.3">
      <c r="F255" s="5"/>
      <c r="I255" s="6"/>
      <c r="K255" s="5"/>
      <c r="M255" s="5"/>
      <c r="O255" s="5"/>
      <c r="Q255" s="5"/>
      <c r="S255" s="5"/>
      <c r="U255" s="5"/>
      <c r="W255" s="5"/>
      <c r="Y255" s="5"/>
    </row>
    <row r="256" spans="6:25" ht="15.75" customHeight="1" x14ac:dyDescent="0.3">
      <c r="F256" s="5"/>
      <c r="I256" s="6"/>
      <c r="K256" s="5"/>
      <c r="M256" s="5"/>
      <c r="O256" s="5"/>
      <c r="Q256" s="5"/>
      <c r="S256" s="5"/>
      <c r="U256" s="5"/>
      <c r="W256" s="5"/>
      <c r="Y256" s="5"/>
    </row>
    <row r="257" spans="6:25" ht="15.75" customHeight="1" x14ac:dyDescent="0.3">
      <c r="F257" s="5"/>
      <c r="I257" s="6"/>
      <c r="K257" s="5"/>
      <c r="M257" s="5"/>
      <c r="O257" s="5"/>
      <c r="Q257" s="5"/>
      <c r="S257" s="5"/>
      <c r="U257" s="5"/>
      <c r="W257" s="5"/>
      <c r="Y257" s="5"/>
    </row>
    <row r="258" spans="6:25" ht="15.75" customHeight="1" x14ac:dyDescent="0.3">
      <c r="F258" s="5"/>
      <c r="I258" s="6"/>
      <c r="K258" s="5"/>
      <c r="M258" s="5"/>
      <c r="O258" s="5"/>
      <c r="Q258" s="5"/>
      <c r="S258" s="5"/>
      <c r="U258" s="5"/>
      <c r="W258" s="5"/>
      <c r="Y258" s="5"/>
    </row>
    <row r="259" spans="6:25" ht="15.75" customHeight="1" x14ac:dyDescent="0.3">
      <c r="F259" s="5"/>
      <c r="I259" s="6"/>
      <c r="K259" s="5"/>
      <c r="M259" s="5"/>
      <c r="O259" s="5"/>
      <c r="Q259" s="5"/>
      <c r="S259" s="5"/>
      <c r="U259" s="5"/>
      <c r="W259" s="5"/>
      <c r="Y259" s="5"/>
    </row>
    <row r="260" spans="6:25" ht="15.75" customHeight="1" x14ac:dyDescent="0.3">
      <c r="F260" s="5"/>
      <c r="I260" s="6"/>
      <c r="K260" s="5"/>
      <c r="M260" s="5"/>
      <c r="O260" s="5"/>
      <c r="Q260" s="5"/>
      <c r="S260" s="5"/>
      <c r="U260" s="5"/>
      <c r="W260" s="5"/>
      <c r="Y260" s="5"/>
    </row>
    <row r="261" spans="6:25" ht="15.75" customHeight="1" x14ac:dyDescent="0.3">
      <c r="F261" s="5"/>
      <c r="I261" s="6"/>
      <c r="K261" s="5"/>
      <c r="M261" s="5"/>
      <c r="O261" s="5"/>
      <c r="Q261" s="5"/>
      <c r="S261" s="5"/>
      <c r="U261" s="5"/>
      <c r="W261" s="5"/>
      <c r="Y261" s="5"/>
    </row>
    <row r="262" spans="6:25" ht="15.75" customHeight="1" x14ac:dyDescent="0.3">
      <c r="F262" s="5"/>
      <c r="I262" s="6"/>
      <c r="K262" s="5"/>
      <c r="M262" s="5"/>
      <c r="O262" s="5"/>
      <c r="Q262" s="5"/>
      <c r="S262" s="5"/>
      <c r="U262" s="5"/>
      <c r="W262" s="5"/>
      <c r="Y262" s="5"/>
    </row>
    <row r="263" spans="6:25" ht="15.75" customHeight="1" x14ac:dyDescent="0.3">
      <c r="F263" s="5"/>
      <c r="I263" s="6"/>
      <c r="K263" s="5"/>
      <c r="M263" s="5"/>
      <c r="O263" s="5"/>
      <c r="Q263" s="5"/>
      <c r="S263" s="5"/>
      <c r="U263" s="5"/>
      <c r="W263" s="5"/>
      <c r="Y263" s="5"/>
    </row>
    <row r="264" spans="6:25" ht="15.75" customHeight="1" x14ac:dyDescent="0.3">
      <c r="F264" s="5"/>
      <c r="I264" s="6"/>
      <c r="K264" s="5"/>
      <c r="M264" s="5"/>
      <c r="O264" s="5"/>
      <c r="Q264" s="5"/>
      <c r="S264" s="5"/>
      <c r="U264" s="5"/>
      <c r="W264" s="5"/>
      <c r="Y264" s="5"/>
    </row>
    <row r="265" spans="6:25" ht="15.75" customHeight="1" x14ac:dyDescent="0.3">
      <c r="F265" s="5"/>
      <c r="I265" s="6"/>
      <c r="K265" s="5"/>
      <c r="M265" s="5"/>
      <c r="O265" s="5"/>
      <c r="Q265" s="5"/>
      <c r="S265" s="5"/>
      <c r="U265" s="5"/>
      <c r="W265" s="5"/>
      <c r="Y265" s="5"/>
    </row>
    <row r="266" spans="6:25" ht="15.75" customHeight="1" x14ac:dyDescent="0.3">
      <c r="F266" s="5"/>
      <c r="I266" s="6"/>
      <c r="K266" s="5"/>
      <c r="M266" s="5"/>
      <c r="O266" s="5"/>
      <c r="Q266" s="5"/>
      <c r="S266" s="5"/>
      <c r="U266" s="5"/>
      <c r="W266" s="5"/>
      <c r="Y266" s="5"/>
    </row>
    <row r="267" spans="6:25" ht="15.75" customHeight="1" x14ac:dyDescent="0.3">
      <c r="F267" s="5"/>
      <c r="I267" s="6"/>
      <c r="K267" s="5"/>
      <c r="M267" s="5"/>
      <c r="O267" s="5"/>
      <c r="Q267" s="5"/>
      <c r="S267" s="5"/>
      <c r="U267" s="5"/>
      <c r="W267" s="5"/>
      <c r="Y267" s="5"/>
    </row>
    <row r="268" spans="6:25" ht="15.75" customHeight="1" x14ac:dyDescent="0.3">
      <c r="F268" s="5"/>
      <c r="I268" s="6"/>
      <c r="K268" s="5"/>
      <c r="M268" s="5"/>
      <c r="O268" s="5"/>
      <c r="Q268" s="5"/>
      <c r="S268" s="5"/>
      <c r="U268" s="5"/>
      <c r="W268" s="5"/>
      <c r="Y268" s="5"/>
    </row>
    <row r="269" spans="6:25" ht="15.75" customHeight="1" x14ac:dyDescent="0.3">
      <c r="F269" s="5"/>
      <c r="I269" s="6"/>
      <c r="K269" s="5"/>
      <c r="M269" s="5"/>
      <c r="O269" s="5"/>
      <c r="Q269" s="5"/>
      <c r="S269" s="5"/>
      <c r="U269" s="5"/>
      <c r="W269" s="5"/>
      <c r="Y269" s="5"/>
    </row>
    <row r="270" spans="6:25" ht="15.75" customHeight="1" x14ac:dyDescent="0.3">
      <c r="F270" s="5"/>
      <c r="I270" s="6"/>
      <c r="K270" s="5"/>
      <c r="M270" s="5"/>
      <c r="O270" s="5"/>
      <c r="Q270" s="5"/>
      <c r="S270" s="5"/>
      <c r="U270" s="5"/>
      <c r="W270" s="5"/>
      <c r="Y270" s="5"/>
    </row>
    <row r="271" spans="6:25" ht="15.75" customHeight="1" x14ac:dyDescent="0.3">
      <c r="F271" s="5"/>
      <c r="I271" s="6"/>
      <c r="K271" s="5"/>
      <c r="M271" s="5"/>
      <c r="O271" s="5"/>
      <c r="Q271" s="5"/>
      <c r="S271" s="5"/>
      <c r="U271" s="5"/>
      <c r="W271" s="5"/>
      <c r="Y271" s="5"/>
    </row>
    <row r="272" spans="6:25" ht="15.75" customHeight="1" x14ac:dyDescent="0.3">
      <c r="F272" s="5"/>
      <c r="I272" s="6"/>
      <c r="K272" s="5"/>
      <c r="M272" s="5"/>
      <c r="O272" s="5"/>
      <c r="Q272" s="5"/>
      <c r="S272" s="5"/>
      <c r="U272" s="5"/>
      <c r="W272" s="5"/>
      <c r="Y272" s="5"/>
    </row>
    <row r="273" spans="6:25" ht="15.75" customHeight="1" x14ac:dyDescent="0.3">
      <c r="F273" s="5"/>
      <c r="I273" s="6"/>
      <c r="K273" s="5"/>
      <c r="M273" s="5"/>
      <c r="O273" s="5"/>
      <c r="Q273" s="5"/>
      <c r="S273" s="5"/>
      <c r="U273" s="5"/>
      <c r="W273" s="5"/>
      <c r="Y273" s="5"/>
    </row>
    <row r="274" spans="6:25" ht="15.75" customHeight="1" x14ac:dyDescent="0.3">
      <c r="F274" s="5"/>
      <c r="I274" s="6"/>
      <c r="K274" s="5"/>
      <c r="M274" s="5"/>
      <c r="O274" s="5"/>
      <c r="Q274" s="5"/>
      <c r="S274" s="5"/>
      <c r="U274" s="5"/>
      <c r="W274" s="5"/>
      <c r="Y274" s="5"/>
    </row>
    <row r="275" spans="6:25" ht="15.75" customHeight="1" x14ac:dyDescent="0.3">
      <c r="F275" s="5"/>
      <c r="I275" s="6"/>
      <c r="K275" s="5"/>
      <c r="M275" s="5"/>
      <c r="O275" s="5"/>
      <c r="Q275" s="5"/>
      <c r="S275" s="5"/>
      <c r="U275" s="5"/>
      <c r="W275" s="5"/>
      <c r="Y275" s="5"/>
    </row>
    <row r="276" spans="6:25" ht="15.75" customHeight="1" x14ac:dyDescent="0.3">
      <c r="F276" s="5"/>
      <c r="I276" s="6"/>
      <c r="K276" s="5"/>
      <c r="M276" s="5"/>
      <c r="O276" s="5"/>
      <c r="Q276" s="5"/>
      <c r="S276" s="5"/>
      <c r="U276" s="5"/>
      <c r="W276" s="5"/>
      <c r="Y276" s="5"/>
    </row>
    <row r="277" spans="6:25" ht="15.75" customHeight="1" x14ac:dyDescent="0.3">
      <c r="F277" s="5"/>
      <c r="I277" s="6"/>
      <c r="K277" s="5"/>
      <c r="M277" s="5"/>
      <c r="O277" s="5"/>
      <c r="Q277" s="5"/>
      <c r="S277" s="5"/>
      <c r="U277" s="5"/>
      <c r="W277" s="5"/>
      <c r="Y277" s="5"/>
    </row>
    <row r="278" spans="6:25" ht="15.75" customHeight="1" x14ac:dyDescent="0.3">
      <c r="F278" s="5"/>
      <c r="I278" s="6"/>
      <c r="K278" s="5"/>
      <c r="M278" s="5"/>
      <c r="O278" s="5"/>
      <c r="Q278" s="5"/>
      <c r="S278" s="5"/>
      <c r="U278" s="5"/>
      <c r="W278" s="5"/>
      <c r="Y278" s="5"/>
    </row>
    <row r="279" spans="6:25" ht="15.75" customHeight="1" x14ac:dyDescent="0.3">
      <c r="F279" s="5"/>
      <c r="I279" s="6"/>
      <c r="K279" s="5"/>
      <c r="M279" s="5"/>
      <c r="O279" s="5"/>
      <c r="Q279" s="5"/>
      <c r="S279" s="5"/>
      <c r="U279" s="5"/>
      <c r="W279" s="5"/>
      <c r="Y279" s="5"/>
    </row>
    <row r="280" spans="6:25" ht="15.75" customHeight="1" x14ac:dyDescent="0.3">
      <c r="F280" s="5"/>
      <c r="I280" s="6"/>
      <c r="K280" s="5"/>
      <c r="M280" s="5"/>
      <c r="O280" s="5"/>
      <c r="Q280" s="5"/>
      <c r="S280" s="5"/>
      <c r="U280" s="5"/>
      <c r="W280" s="5"/>
      <c r="Y280" s="5"/>
    </row>
    <row r="281" spans="6:25" ht="15.75" customHeight="1" x14ac:dyDescent="0.3">
      <c r="F281" s="5"/>
      <c r="I281" s="6"/>
      <c r="K281" s="5"/>
      <c r="M281" s="5"/>
      <c r="O281" s="5"/>
      <c r="Q281" s="5"/>
      <c r="S281" s="5"/>
      <c r="U281" s="5"/>
      <c r="W281" s="5"/>
      <c r="Y281" s="5"/>
    </row>
    <row r="282" spans="6:25" ht="15.75" customHeight="1" x14ac:dyDescent="0.3">
      <c r="F282" s="5"/>
      <c r="I282" s="6"/>
      <c r="K282" s="5"/>
      <c r="M282" s="5"/>
      <c r="O282" s="5"/>
      <c r="Q282" s="5"/>
      <c r="S282" s="5"/>
      <c r="U282" s="5"/>
      <c r="W282" s="5"/>
      <c r="Y282" s="5"/>
    </row>
    <row r="283" spans="6:25" ht="15.75" customHeight="1" x14ac:dyDescent="0.3">
      <c r="F283" s="5"/>
      <c r="I283" s="6"/>
      <c r="K283" s="5"/>
      <c r="M283" s="5"/>
      <c r="O283" s="5"/>
      <c r="Q283" s="5"/>
      <c r="S283" s="5"/>
      <c r="U283" s="5"/>
      <c r="W283" s="5"/>
      <c r="Y283" s="5"/>
    </row>
    <row r="284" spans="6:25" ht="15.75" customHeight="1" x14ac:dyDescent="0.3">
      <c r="F284" s="5"/>
      <c r="I284" s="6"/>
      <c r="K284" s="5"/>
      <c r="M284" s="5"/>
      <c r="O284" s="5"/>
      <c r="Q284" s="5"/>
      <c r="S284" s="5"/>
      <c r="U284" s="5"/>
      <c r="W284" s="5"/>
      <c r="Y284" s="5"/>
    </row>
    <row r="285" spans="6:25" ht="15.75" customHeight="1" x14ac:dyDescent="0.3">
      <c r="F285" s="5"/>
      <c r="I285" s="6"/>
      <c r="K285" s="5"/>
      <c r="M285" s="5"/>
      <c r="O285" s="5"/>
      <c r="Q285" s="5"/>
      <c r="S285" s="5"/>
      <c r="U285" s="5"/>
      <c r="W285" s="5"/>
      <c r="Y285" s="5"/>
    </row>
    <row r="286" spans="6:25" ht="15.75" customHeight="1" x14ac:dyDescent="0.3">
      <c r="F286" s="5"/>
      <c r="I286" s="6"/>
      <c r="K286" s="5"/>
      <c r="M286" s="5"/>
      <c r="O286" s="5"/>
      <c r="Q286" s="5"/>
      <c r="S286" s="5"/>
      <c r="U286" s="5"/>
      <c r="W286" s="5"/>
      <c r="Y286" s="5"/>
    </row>
    <row r="287" spans="6:25" ht="15.75" customHeight="1" x14ac:dyDescent="0.3">
      <c r="F287" s="5"/>
      <c r="I287" s="6"/>
      <c r="K287" s="5"/>
      <c r="M287" s="5"/>
      <c r="O287" s="5"/>
      <c r="Q287" s="5"/>
      <c r="S287" s="5"/>
      <c r="U287" s="5"/>
      <c r="W287" s="5"/>
      <c r="Y287" s="5"/>
    </row>
    <row r="288" spans="6:25" ht="15.75" customHeight="1" x14ac:dyDescent="0.3">
      <c r="F288" s="5"/>
      <c r="I288" s="6"/>
      <c r="K288" s="5"/>
      <c r="M288" s="5"/>
      <c r="O288" s="5"/>
      <c r="Q288" s="5"/>
      <c r="S288" s="5"/>
      <c r="U288" s="5"/>
      <c r="W288" s="5"/>
      <c r="Y288" s="5"/>
    </row>
    <row r="289" spans="6:25" ht="15.75" customHeight="1" x14ac:dyDescent="0.3">
      <c r="F289" s="5"/>
      <c r="I289" s="6"/>
      <c r="K289" s="5"/>
      <c r="M289" s="5"/>
      <c r="O289" s="5"/>
      <c r="Q289" s="5"/>
      <c r="S289" s="5"/>
      <c r="U289" s="5"/>
      <c r="W289" s="5"/>
      <c r="Y289" s="5"/>
    </row>
    <row r="290" spans="6:25" ht="15.75" customHeight="1" x14ac:dyDescent="0.3">
      <c r="F290" s="5"/>
      <c r="I290" s="6"/>
      <c r="K290" s="5"/>
      <c r="M290" s="5"/>
      <c r="O290" s="5"/>
      <c r="Q290" s="5"/>
      <c r="S290" s="5"/>
      <c r="U290" s="5"/>
      <c r="W290" s="5"/>
      <c r="Y290" s="5"/>
    </row>
    <row r="291" spans="6:25" ht="15.75" customHeight="1" x14ac:dyDescent="0.3">
      <c r="F291" s="5"/>
      <c r="I291" s="6"/>
      <c r="K291" s="5"/>
      <c r="M291" s="5"/>
      <c r="O291" s="5"/>
      <c r="Q291" s="5"/>
      <c r="S291" s="5"/>
      <c r="U291" s="5"/>
      <c r="W291" s="5"/>
      <c r="Y291" s="5"/>
    </row>
    <row r="292" spans="6:25" ht="15.75" customHeight="1" x14ac:dyDescent="0.3">
      <c r="F292" s="5"/>
      <c r="I292" s="6"/>
      <c r="K292" s="5"/>
      <c r="M292" s="5"/>
      <c r="O292" s="5"/>
      <c r="Q292" s="5"/>
      <c r="S292" s="5"/>
      <c r="U292" s="5"/>
      <c r="W292" s="5"/>
      <c r="Y292" s="5"/>
    </row>
    <row r="293" spans="6:25" ht="15.75" customHeight="1" x14ac:dyDescent="0.3">
      <c r="F293" s="5"/>
      <c r="I293" s="6"/>
      <c r="K293" s="5"/>
      <c r="M293" s="5"/>
      <c r="O293" s="5"/>
      <c r="Q293" s="5"/>
      <c r="S293" s="5"/>
      <c r="U293" s="5"/>
      <c r="W293" s="5"/>
      <c r="Y293" s="5"/>
    </row>
    <row r="294" spans="6:25" ht="15.75" customHeight="1" x14ac:dyDescent="0.3">
      <c r="F294" s="5"/>
      <c r="I294" s="6"/>
      <c r="K294" s="5"/>
      <c r="M294" s="5"/>
      <c r="O294" s="5"/>
      <c r="Q294" s="5"/>
      <c r="S294" s="5"/>
      <c r="U294" s="5"/>
      <c r="W294" s="5"/>
      <c r="Y294" s="5"/>
    </row>
    <row r="295" spans="6:25" ht="15.75" customHeight="1" x14ac:dyDescent="0.3">
      <c r="F295" s="5"/>
      <c r="I295" s="6"/>
      <c r="K295" s="5"/>
      <c r="M295" s="5"/>
      <c r="O295" s="5"/>
      <c r="Q295" s="5"/>
      <c r="S295" s="5"/>
      <c r="U295" s="5"/>
      <c r="W295" s="5"/>
      <c r="Y295" s="5"/>
    </row>
    <row r="296" spans="6:25" ht="15.75" customHeight="1" x14ac:dyDescent="0.3">
      <c r="F296" s="5"/>
      <c r="I296" s="6"/>
      <c r="K296" s="5"/>
      <c r="M296" s="5"/>
      <c r="O296" s="5"/>
      <c r="Q296" s="5"/>
      <c r="S296" s="5"/>
      <c r="U296" s="5"/>
      <c r="W296" s="5"/>
      <c r="Y296" s="5"/>
    </row>
    <row r="297" spans="6:25" ht="15.75" customHeight="1" x14ac:dyDescent="0.3">
      <c r="F297" s="5"/>
      <c r="I297" s="6"/>
      <c r="K297" s="5"/>
      <c r="M297" s="5"/>
      <c r="O297" s="5"/>
      <c r="Q297" s="5"/>
      <c r="S297" s="5"/>
      <c r="U297" s="5"/>
      <c r="W297" s="5"/>
      <c r="Y297" s="5"/>
    </row>
    <row r="298" spans="6:25" ht="15.75" customHeight="1" x14ac:dyDescent="0.3">
      <c r="F298" s="5"/>
      <c r="I298" s="6"/>
      <c r="K298" s="5"/>
      <c r="M298" s="5"/>
      <c r="O298" s="5"/>
      <c r="Q298" s="5"/>
      <c r="S298" s="5"/>
      <c r="U298" s="5"/>
      <c r="W298" s="5"/>
      <c r="Y298" s="5"/>
    </row>
    <row r="299" spans="6:25" ht="15.75" customHeight="1" x14ac:dyDescent="0.3">
      <c r="F299" s="5"/>
      <c r="I299" s="6"/>
      <c r="K299" s="5"/>
      <c r="M299" s="5"/>
      <c r="O299" s="5"/>
      <c r="Q299" s="5"/>
      <c r="S299" s="5"/>
      <c r="U299" s="5"/>
      <c r="W299" s="5"/>
      <c r="Y299" s="5"/>
    </row>
    <row r="300" spans="6:25" ht="15.75" customHeight="1" x14ac:dyDescent="0.3">
      <c r="F300" s="5"/>
      <c r="I300" s="6"/>
      <c r="K300" s="5"/>
      <c r="M300" s="5"/>
      <c r="O300" s="5"/>
      <c r="Q300" s="5"/>
      <c r="S300" s="5"/>
      <c r="U300" s="5"/>
      <c r="W300" s="5"/>
      <c r="Y300" s="5"/>
    </row>
    <row r="301" spans="6:25" ht="15.75" customHeight="1" x14ac:dyDescent="0.3">
      <c r="F301" s="5"/>
      <c r="I301" s="6"/>
      <c r="K301" s="5"/>
      <c r="M301" s="5"/>
      <c r="O301" s="5"/>
      <c r="Q301" s="5"/>
      <c r="S301" s="5"/>
      <c r="U301" s="5"/>
      <c r="W301" s="5"/>
      <c r="Y301" s="5"/>
    </row>
    <row r="302" spans="6:25" ht="15.75" customHeight="1" x14ac:dyDescent="0.3">
      <c r="F302" s="5"/>
      <c r="I302" s="6"/>
      <c r="K302" s="5"/>
      <c r="M302" s="5"/>
      <c r="O302" s="5"/>
      <c r="Q302" s="5"/>
      <c r="S302" s="5"/>
      <c r="U302" s="5"/>
      <c r="W302" s="5"/>
      <c r="Y302" s="5"/>
    </row>
    <row r="303" spans="6:25" ht="15.75" customHeight="1" x14ac:dyDescent="0.3">
      <c r="F303" s="5"/>
      <c r="I303" s="6"/>
      <c r="K303" s="5"/>
      <c r="M303" s="5"/>
      <c r="O303" s="5"/>
      <c r="Q303" s="5"/>
      <c r="S303" s="5"/>
      <c r="U303" s="5"/>
      <c r="W303" s="5"/>
      <c r="Y303" s="5"/>
    </row>
    <row r="304" spans="6:25" ht="15.75" customHeight="1" x14ac:dyDescent="0.3">
      <c r="F304" s="5"/>
      <c r="I304" s="6"/>
      <c r="K304" s="5"/>
      <c r="M304" s="5"/>
      <c r="O304" s="5"/>
      <c r="Q304" s="5"/>
      <c r="S304" s="5"/>
      <c r="U304" s="5"/>
      <c r="W304" s="5"/>
      <c r="Y304" s="5"/>
    </row>
    <row r="305" spans="6:25" ht="15.75" customHeight="1" x14ac:dyDescent="0.3">
      <c r="F305" s="5"/>
      <c r="I305" s="6"/>
      <c r="K305" s="5"/>
      <c r="M305" s="5"/>
      <c r="O305" s="5"/>
      <c r="Q305" s="5"/>
      <c r="S305" s="5"/>
      <c r="U305" s="5"/>
      <c r="W305" s="5"/>
      <c r="Y305" s="5"/>
    </row>
    <row r="306" spans="6:25" ht="15.75" customHeight="1" x14ac:dyDescent="0.3">
      <c r="F306" s="5"/>
      <c r="I306" s="6"/>
      <c r="K306" s="5"/>
      <c r="M306" s="5"/>
      <c r="O306" s="5"/>
      <c r="Q306" s="5"/>
      <c r="S306" s="5"/>
      <c r="U306" s="5"/>
      <c r="W306" s="5"/>
      <c r="Y306" s="5"/>
    </row>
    <row r="307" spans="6:25" ht="15.75" customHeight="1" x14ac:dyDescent="0.3">
      <c r="F307" s="5"/>
      <c r="I307" s="6"/>
      <c r="K307" s="5"/>
      <c r="M307" s="5"/>
      <c r="O307" s="5"/>
      <c r="Q307" s="5"/>
      <c r="S307" s="5"/>
      <c r="U307" s="5"/>
      <c r="W307" s="5"/>
      <c r="Y307" s="5"/>
    </row>
    <row r="308" spans="6:25" ht="15.75" customHeight="1" x14ac:dyDescent="0.3">
      <c r="F308" s="5"/>
      <c r="I308" s="6"/>
      <c r="K308" s="5"/>
      <c r="M308" s="5"/>
      <c r="O308" s="5"/>
      <c r="Q308" s="5"/>
      <c r="S308" s="5"/>
      <c r="U308" s="5"/>
      <c r="W308" s="5"/>
      <c r="Y308" s="5"/>
    </row>
    <row r="309" spans="6:25" ht="15.75" customHeight="1" x14ac:dyDescent="0.3">
      <c r="F309" s="5"/>
      <c r="I309" s="6"/>
      <c r="K309" s="5"/>
      <c r="M309" s="5"/>
      <c r="O309" s="5"/>
      <c r="Q309" s="5"/>
      <c r="S309" s="5"/>
      <c r="U309" s="5"/>
      <c r="W309" s="5"/>
      <c r="Y309" s="5"/>
    </row>
    <row r="310" spans="6:25" ht="15.75" customHeight="1" x14ac:dyDescent="0.3">
      <c r="F310" s="5"/>
      <c r="I310" s="6"/>
      <c r="K310" s="5"/>
      <c r="M310" s="5"/>
      <c r="O310" s="5"/>
      <c r="Q310" s="5"/>
      <c r="S310" s="5"/>
      <c r="U310" s="5"/>
      <c r="W310" s="5"/>
      <c r="Y310" s="5"/>
    </row>
    <row r="311" spans="6:25" ht="15.75" customHeight="1" x14ac:dyDescent="0.3">
      <c r="F311" s="5"/>
      <c r="I311" s="6"/>
      <c r="K311" s="5"/>
      <c r="M311" s="5"/>
      <c r="O311" s="5"/>
      <c r="Q311" s="5"/>
      <c r="S311" s="5"/>
      <c r="U311" s="5"/>
      <c r="W311" s="5"/>
      <c r="Y311" s="5"/>
    </row>
    <row r="312" spans="6:25" ht="15.75" customHeight="1" x14ac:dyDescent="0.3">
      <c r="F312" s="5"/>
      <c r="I312" s="6"/>
      <c r="K312" s="5"/>
      <c r="M312" s="5"/>
      <c r="O312" s="5"/>
      <c r="Q312" s="5"/>
      <c r="S312" s="5"/>
      <c r="U312" s="5"/>
      <c r="W312" s="5"/>
      <c r="Y312" s="5"/>
    </row>
    <row r="313" spans="6:25" ht="15.75" customHeight="1" x14ac:dyDescent="0.3">
      <c r="F313" s="5"/>
      <c r="I313" s="6"/>
      <c r="K313" s="5"/>
      <c r="M313" s="5"/>
      <c r="O313" s="5"/>
      <c r="Q313" s="5"/>
      <c r="S313" s="5"/>
      <c r="U313" s="5"/>
      <c r="W313" s="5"/>
      <c r="Y313" s="5"/>
    </row>
    <row r="314" spans="6:25" ht="15.75" customHeight="1" x14ac:dyDescent="0.3">
      <c r="F314" s="5"/>
      <c r="I314" s="6"/>
      <c r="K314" s="5"/>
      <c r="M314" s="5"/>
      <c r="O314" s="5"/>
      <c r="Q314" s="5"/>
      <c r="S314" s="5"/>
      <c r="U314" s="5"/>
      <c r="W314" s="5"/>
      <c r="Y314" s="5"/>
    </row>
    <row r="315" spans="6:25" ht="15.75" customHeight="1" x14ac:dyDescent="0.3">
      <c r="F315" s="5"/>
      <c r="I315" s="6"/>
      <c r="K315" s="5"/>
      <c r="M315" s="5"/>
      <c r="O315" s="5"/>
      <c r="Q315" s="5"/>
      <c r="S315" s="5"/>
      <c r="U315" s="5"/>
      <c r="W315" s="5"/>
      <c r="Y315" s="5"/>
    </row>
    <row r="316" spans="6:25" ht="15.75" customHeight="1" x14ac:dyDescent="0.3">
      <c r="F316" s="5"/>
      <c r="I316" s="6"/>
      <c r="K316" s="5"/>
      <c r="M316" s="5"/>
      <c r="O316" s="5"/>
      <c r="Q316" s="5"/>
      <c r="S316" s="5"/>
      <c r="U316" s="5"/>
      <c r="W316" s="5"/>
      <c r="Y316" s="5"/>
    </row>
    <row r="317" spans="6:25" ht="15.75" customHeight="1" x14ac:dyDescent="0.3">
      <c r="F317" s="5"/>
      <c r="I317" s="6"/>
      <c r="K317" s="5"/>
      <c r="M317" s="5"/>
      <c r="O317" s="5"/>
      <c r="Q317" s="5"/>
      <c r="S317" s="5"/>
      <c r="U317" s="5"/>
      <c r="W317" s="5"/>
      <c r="Y317" s="5"/>
    </row>
    <row r="318" spans="6:25" ht="15.75" customHeight="1" x14ac:dyDescent="0.3">
      <c r="F318" s="5"/>
      <c r="I318" s="6"/>
      <c r="K318" s="5"/>
      <c r="M318" s="5"/>
      <c r="O318" s="5"/>
      <c r="Q318" s="5"/>
      <c r="S318" s="5"/>
      <c r="U318" s="5"/>
      <c r="W318" s="5"/>
      <c r="Y318" s="5"/>
    </row>
    <row r="319" spans="6:25" ht="15.75" customHeight="1" x14ac:dyDescent="0.3">
      <c r="F319" s="5"/>
      <c r="I319" s="6"/>
      <c r="K319" s="5"/>
      <c r="M319" s="5"/>
      <c r="O319" s="5"/>
      <c r="Q319" s="5"/>
      <c r="S319" s="5"/>
      <c r="U319" s="5"/>
      <c r="W319" s="5"/>
      <c r="Y319" s="5"/>
    </row>
    <row r="320" spans="6:25" ht="15.75" customHeight="1" x14ac:dyDescent="0.3">
      <c r="F320" s="5"/>
      <c r="I320" s="6"/>
      <c r="K320" s="5"/>
      <c r="M320" s="5"/>
      <c r="O320" s="5"/>
      <c r="Q320" s="5"/>
      <c r="S320" s="5"/>
      <c r="U320" s="5"/>
      <c r="W320" s="5"/>
      <c r="Y320" s="5"/>
    </row>
    <row r="321" spans="6:25" ht="15.75" customHeight="1" x14ac:dyDescent="0.3">
      <c r="F321" s="5"/>
      <c r="I321" s="6"/>
      <c r="K321" s="5"/>
      <c r="M321" s="5"/>
      <c r="O321" s="5"/>
      <c r="Q321" s="5"/>
      <c r="S321" s="5"/>
      <c r="U321" s="5"/>
      <c r="W321" s="5"/>
      <c r="Y321" s="5"/>
    </row>
    <row r="322" spans="6:25" ht="15.75" customHeight="1" x14ac:dyDescent="0.3">
      <c r="F322" s="5"/>
      <c r="I322" s="6"/>
      <c r="K322" s="5"/>
      <c r="M322" s="5"/>
      <c r="O322" s="5"/>
      <c r="Q322" s="5"/>
      <c r="S322" s="5"/>
      <c r="U322" s="5"/>
      <c r="W322" s="5"/>
      <c r="Y322" s="5"/>
    </row>
    <row r="323" spans="6:25" ht="15.75" customHeight="1" x14ac:dyDescent="0.3">
      <c r="F323" s="5"/>
      <c r="I323" s="6"/>
      <c r="K323" s="5"/>
      <c r="M323" s="5"/>
      <c r="O323" s="5"/>
      <c r="Q323" s="5"/>
      <c r="S323" s="5"/>
      <c r="U323" s="5"/>
      <c r="W323" s="5"/>
      <c r="Y323" s="5"/>
    </row>
    <row r="324" spans="6:25" ht="15.75" customHeight="1" x14ac:dyDescent="0.3">
      <c r="F324" s="5"/>
      <c r="I324" s="6"/>
      <c r="K324" s="5"/>
      <c r="M324" s="5"/>
      <c r="O324" s="5"/>
      <c r="Q324" s="5"/>
      <c r="S324" s="5"/>
      <c r="U324" s="5"/>
      <c r="W324" s="5"/>
      <c r="Y324" s="5"/>
    </row>
    <row r="325" spans="6:25" ht="15.75" customHeight="1" x14ac:dyDescent="0.3">
      <c r="F325" s="5"/>
      <c r="I325" s="6"/>
      <c r="K325" s="5"/>
      <c r="M325" s="5"/>
      <c r="O325" s="5"/>
      <c r="Q325" s="5"/>
      <c r="S325" s="5"/>
      <c r="U325" s="5"/>
      <c r="W325" s="5"/>
      <c r="Y325" s="5"/>
    </row>
    <row r="326" spans="6:25" ht="15.75" customHeight="1" x14ac:dyDescent="0.3">
      <c r="F326" s="5"/>
      <c r="I326" s="6"/>
      <c r="K326" s="5"/>
      <c r="M326" s="5"/>
      <c r="O326" s="5"/>
      <c r="Q326" s="5"/>
      <c r="S326" s="5"/>
      <c r="U326" s="5"/>
      <c r="W326" s="5"/>
      <c r="Y326" s="5"/>
    </row>
    <row r="327" spans="6:25" ht="15.75" customHeight="1" x14ac:dyDescent="0.3">
      <c r="F327" s="5"/>
      <c r="I327" s="6"/>
      <c r="K327" s="5"/>
      <c r="M327" s="5"/>
      <c r="O327" s="5"/>
      <c r="Q327" s="5"/>
      <c r="S327" s="5"/>
      <c r="U327" s="5"/>
      <c r="W327" s="5"/>
      <c r="Y327" s="5"/>
    </row>
    <row r="328" spans="6:25" ht="15.75" customHeight="1" x14ac:dyDescent="0.3">
      <c r="F328" s="5"/>
      <c r="I328" s="6"/>
      <c r="K328" s="5"/>
      <c r="M328" s="5"/>
      <c r="O328" s="5"/>
      <c r="Q328" s="5"/>
      <c r="S328" s="5"/>
      <c r="U328" s="5"/>
      <c r="W328" s="5"/>
      <c r="Y328" s="5"/>
    </row>
    <row r="329" spans="6:25" ht="15.75" customHeight="1" x14ac:dyDescent="0.3">
      <c r="F329" s="5"/>
      <c r="I329" s="6"/>
      <c r="K329" s="5"/>
      <c r="M329" s="5"/>
      <c r="O329" s="5"/>
      <c r="Q329" s="5"/>
      <c r="S329" s="5"/>
      <c r="U329" s="5"/>
      <c r="W329" s="5"/>
      <c r="Y329" s="5"/>
    </row>
    <row r="330" spans="6:25" ht="15.75" customHeight="1" x14ac:dyDescent="0.3">
      <c r="F330" s="5"/>
      <c r="I330" s="6"/>
      <c r="K330" s="5"/>
      <c r="M330" s="5"/>
      <c r="O330" s="5"/>
      <c r="Q330" s="5"/>
      <c r="S330" s="5"/>
      <c r="U330" s="5"/>
      <c r="W330" s="5"/>
      <c r="Y330" s="5"/>
    </row>
    <row r="331" spans="6:25" ht="15.75" customHeight="1" x14ac:dyDescent="0.3">
      <c r="F331" s="5"/>
      <c r="I331" s="6"/>
      <c r="K331" s="5"/>
      <c r="M331" s="5"/>
      <c r="O331" s="5"/>
      <c r="Q331" s="5"/>
      <c r="S331" s="5"/>
      <c r="U331" s="5"/>
      <c r="W331" s="5"/>
      <c r="Y331" s="5"/>
    </row>
    <row r="332" spans="6:25" ht="15.75" customHeight="1" x14ac:dyDescent="0.3">
      <c r="F332" s="5"/>
      <c r="I332" s="6"/>
      <c r="K332" s="5"/>
      <c r="M332" s="5"/>
      <c r="O332" s="5"/>
      <c r="Q332" s="5"/>
      <c r="S332" s="5"/>
      <c r="U332" s="5"/>
      <c r="W332" s="5"/>
      <c r="Y332" s="5"/>
    </row>
    <row r="333" spans="6:25" ht="15.75" customHeight="1" x14ac:dyDescent="0.3">
      <c r="F333" s="5"/>
      <c r="I333" s="6"/>
      <c r="K333" s="5"/>
      <c r="M333" s="5"/>
      <c r="O333" s="5"/>
      <c r="Q333" s="5"/>
      <c r="S333" s="5"/>
      <c r="U333" s="5"/>
      <c r="W333" s="5"/>
      <c r="Y333" s="5"/>
    </row>
    <row r="334" spans="6:25" ht="15.75" customHeight="1" x14ac:dyDescent="0.3">
      <c r="F334" s="5"/>
      <c r="I334" s="6"/>
      <c r="K334" s="5"/>
      <c r="M334" s="5"/>
      <c r="O334" s="5"/>
      <c r="Q334" s="5"/>
      <c r="S334" s="5"/>
      <c r="U334" s="5"/>
      <c r="W334" s="5"/>
      <c r="Y334" s="5"/>
    </row>
    <row r="335" spans="6:25" ht="15.75" customHeight="1" x14ac:dyDescent="0.3">
      <c r="F335" s="5"/>
      <c r="I335" s="6"/>
      <c r="K335" s="5"/>
      <c r="M335" s="5"/>
      <c r="O335" s="5"/>
      <c r="Q335" s="5"/>
      <c r="S335" s="5"/>
      <c r="U335" s="5"/>
      <c r="W335" s="5"/>
      <c r="Y335" s="5"/>
    </row>
    <row r="336" spans="6:25" ht="15.75" customHeight="1" x14ac:dyDescent="0.3">
      <c r="F336" s="5"/>
      <c r="I336" s="6"/>
      <c r="K336" s="5"/>
      <c r="M336" s="5"/>
      <c r="O336" s="5"/>
      <c r="Q336" s="5"/>
      <c r="S336" s="5"/>
      <c r="U336" s="5"/>
      <c r="W336" s="5"/>
      <c r="Y336" s="5"/>
    </row>
    <row r="337" spans="6:25" ht="15.75" customHeight="1" x14ac:dyDescent="0.3">
      <c r="F337" s="5"/>
      <c r="I337" s="6"/>
      <c r="K337" s="5"/>
      <c r="M337" s="5"/>
      <c r="O337" s="5"/>
      <c r="Q337" s="5"/>
      <c r="S337" s="5"/>
      <c r="U337" s="5"/>
      <c r="W337" s="5"/>
      <c r="Y337" s="5"/>
    </row>
    <row r="338" spans="6:25" ht="15.75" customHeight="1" x14ac:dyDescent="0.3">
      <c r="F338" s="5"/>
      <c r="I338" s="6"/>
      <c r="K338" s="5"/>
      <c r="M338" s="5"/>
      <c r="O338" s="5"/>
      <c r="Q338" s="5"/>
      <c r="S338" s="5"/>
      <c r="U338" s="5"/>
      <c r="W338" s="5"/>
      <c r="Y338" s="5"/>
    </row>
    <row r="339" spans="6:25" ht="15.75" customHeight="1" x14ac:dyDescent="0.3">
      <c r="F339" s="5"/>
      <c r="I339" s="6"/>
      <c r="K339" s="5"/>
      <c r="M339" s="5"/>
      <c r="O339" s="5"/>
      <c r="Q339" s="5"/>
      <c r="S339" s="5"/>
      <c r="U339" s="5"/>
      <c r="W339" s="5"/>
      <c r="Y339" s="5"/>
    </row>
    <row r="340" spans="6:25" ht="15.75" customHeight="1" x14ac:dyDescent="0.3">
      <c r="F340" s="5"/>
      <c r="I340" s="6"/>
      <c r="K340" s="5"/>
      <c r="M340" s="5"/>
      <c r="O340" s="5"/>
      <c r="Q340" s="5"/>
      <c r="S340" s="5"/>
      <c r="U340" s="5"/>
      <c r="W340" s="5"/>
      <c r="Y340" s="5"/>
    </row>
    <row r="341" spans="6:25" ht="15.75" customHeight="1" x14ac:dyDescent="0.3">
      <c r="F341" s="5"/>
      <c r="I341" s="6"/>
      <c r="K341" s="5"/>
      <c r="M341" s="5"/>
      <c r="O341" s="5"/>
      <c r="Q341" s="5"/>
      <c r="S341" s="5"/>
      <c r="U341" s="5"/>
      <c r="W341" s="5"/>
      <c r="Y341" s="5"/>
    </row>
    <row r="342" spans="6:25" ht="15.75" customHeight="1" x14ac:dyDescent="0.3">
      <c r="F342" s="5"/>
      <c r="I342" s="6"/>
      <c r="K342" s="5"/>
      <c r="M342" s="5"/>
      <c r="O342" s="5"/>
      <c r="Q342" s="5"/>
      <c r="S342" s="5"/>
      <c r="U342" s="5"/>
      <c r="W342" s="5"/>
      <c r="Y342" s="5"/>
    </row>
    <row r="343" spans="6:25" ht="15.75" customHeight="1" x14ac:dyDescent="0.3">
      <c r="F343" s="5"/>
      <c r="I343" s="6"/>
      <c r="K343" s="5"/>
      <c r="M343" s="5"/>
      <c r="O343" s="5"/>
      <c r="Q343" s="5"/>
      <c r="S343" s="5"/>
      <c r="U343" s="5"/>
      <c r="W343" s="5"/>
      <c r="Y343" s="5"/>
    </row>
    <row r="344" spans="6:25" ht="15.75" customHeight="1" x14ac:dyDescent="0.3">
      <c r="F344" s="5"/>
      <c r="I344" s="6"/>
      <c r="K344" s="5"/>
      <c r="M344" s="5"/>
      <c r="O344" s="5"/>
      <c r="Q344" s="5"/>
      <c r="S344" s="5"/>
      <c r="U344" s="5"/>
      <c r="W344" s="5"/>
      <c r="Y344" s="5"/>
    </row>
    <row r="345" spans="6:25" ht="15.75" customHeight="1" x14ac:dyDescent="0.3">
      <c r="F345" s="5"/>
      <c r="I345" s="6"/>
      <c r="K345" s="5"/>
      <c r="M345" s="5"/>
      <c r="O345" s="5"/>
      <c r="Q345" s="5"/>
      <c r="S345" s="5"/>
      <c r="U345" s="5"/>
      <c r="W345" s="5"/>
      <c r="Y345" s="5"/>
    </row>
    <row r="346" spans="6:25" ht="15.75" customHeight="1" x14ac:dyDescent="0.3">
      <c r="F346" s="5"/>
      <c r="I346" s="6"/>
      <c r="K346" s="5"/>
      <c r="M346" s="5"/>
      <c r="O346" s="5"/>
      <c r="Q346" s="5"/>
      <c r="S346" s="5"/>
      <c r="U346" s="5"/>
      <c r="W346" s="5"/>
      <c r="Y346" s="5"/>
    </row>
    <row r="347" spans="6:25" ht="15.75" customHeight="1" x14ac:dyDescent="0.3">
      <c r="F347" s="5"/>
      <c r="I347" s="6"/>
      <c r="K347" s="5"/>
      <c r="M347" s="5"/>
      <c r="O347" s="5"/>
      <c r="Q347" s="5"/>
      <c r="S347" s="5"/>
      <c r="U347" s="5"/>
      <c r="W347" s="5"/>
      <c r="Y347" s="5"/>
    </row>
    <row r="348" spans="6:25" ht="15.75" customHeight="1" x14ac:dyDescent="0.3">
      <c r="F348" s="5"/>
      <c r="I348" s="6"/>
      <c r="K348" s="5"/>
      <c r="M348" s="5"/>
      <c r="O348" s="5"/>
      <c r="Q348" s="5"/>
      <c r="S348" s="5"/>
      <c r="U348" s="5"/>
      <c r="W348" s="5"/>
      <c r="Y348" s="5"/>
    </row>
    <row r="349" spans="6:25" ht="15.75" customHeight="1" x14ac:dyDescent="0.3">
      <c r="F349" s="5"/>
      <c r="I349" s="6"/>
      <c r="K349" s="5"/>
      <c r="M349" s="5"/>
      <c r="O349" s="5"/>
      <c r="Q349" s="5"/>
      <c r="S349" s="5"/>
      <c r="U349" s="5"/>
      <c r="W349" s="5"/>
      <c r="Y349" s="5"/>
    </row>
    <row r="350" spans="6:25" ht="15.75" customHeight="1" x14ac:dyDescent="0.3">
      <c r="F350" s="5"/>
      <c r="I350" s="6"/>
      <c r="K350" s="5"/>
      <c r="M350" s="5"/>
      <c r="O350" s="5"/>
      <c r="Q350" s="5"/>
      <c r="S350" s="5"/>
      <c r="U350" s="5"/>
      <c r="W350" s="5"/>
      <c r="Y350" s="5"/>
    </row>
    <row r="351" spans="6:25" ht="15.75" customHeight="1" x14ac:dyDescent="0.3">
      <c r="F351" s="5"/>
      <c r="I351" s="6"/>
      <c r="K351" s="5"/>
      <c r="M351" s="5"/>
      <c r="O351" s="5"/>
      <c r="Q351" s="5"/>
      <c r="S351" s="5"/>
      <c r="U351" s="5"/>
      <c r="W351" s="5"/>
      <c r="Y351" s="5"/>
    </row>
    <row r="352" spans="6:25" ht="15.75" customHeight="1" x14ac:dyDescent="0.3">
      <c r="F352" s="5"/>
      <c r="I352" s="6"/>
      <c r="K352" s="5"/>
      <c r="M352" s="5"/>
      <c r="O352" s="5"/>
      <c r="Q352" s="5"/>
      <c r="S352" s="5"/>
      <c r="U352" s="5"/>
      <c r="W352" s="5"/>
      <c r="Y352" s="5"/>
    </row>
    <row r="353" spans="6:25" ht="15.75" customHeight="1" x14ac:dyDescent="0.3">
      <c r="F353" s="5"/>
      <c r="I353" s="6"/>
      <c r="K353" s="5"/>
      <c r="M353" s="5"/>
      <c r="O353" s="5"/>
      <c r="Q353" s="5"/>
      <c r="S353" s="5"/>
      <c r="U353" s="5"/>
      <c r="W353" s="5"/>
      <c r="Y353" s="5"/>
    </row>
    <row r="354" spans="6:25" ht="15.75" customHeight="1" x14ac:dyDescent="0.3">
      <c r="F354" s="5"/>
      <c r="I354" s="6"/>
      <c r="K354" s="5"/>
      <c r="M354" s="5"/>
      <c r="O354" s="5"/>
      <c r="Q354" s="5"/>
      <c r="S354" s="5"/>
      <c r="U354" s="5"/>
      <c r="W354" s="5"/>
      <c r="Y354" s="5"/>
    </row>
    <row r="355" spans="6:25" ht="15.75" customHeight="1" x14ac:dyDescent="0.3">
      <c r="F355" s="5"/>
      <c r="I355" s="6"/>
      <c r="K355" s="5"/>
      <c r="M355" s="5"/>
      <c r="O355" s="5"/>
      <c r="Q355" s="5"/>
      <c r="S355" s="5"/>
      <c r="U355" s="5"/>
      <c r="W355" s="5"/>
      <c r="Y355" s="5"/>
    </row>
    <row r="356" spans="6:25" ht="15.75" customHeight="1" x14ac:dyDescent="0.3">
      <c r="F356" s="5"/>
      <c r="I356" s="6"/>
      <c r="K356" s="5"/>
      <c r="M356" s="5"/>
      <c r="O356" s="5"/>
      <c r="Q356" s="5"/>
      <c r="S356" s="5"/>
      <c r="U356" s="5"/>
      <c r="W356" s="5"/>
      <c r="Y356" s="5"/>
    </row>
    <row r="357" spans="6:25" ht="15.75" customHeight="1" x14ac:dyDescent="0.3">
      <c r="F357" s="5"/>
      <c r="I357" s="6"/>
      <c r="K357" s="5"/>
      <c r="M357" s="5"/>
      <c r="O357" s="5"/>
      <c r="Q357" s="5"/>
      <c r="S357" s="5"/>
      <c r="U357" s="5"/>
      <c r="W357" s="5"/>
      <c r="Y357" s="5"/>
    </row>
    <row r="358" spans="6:25" ht="15.75" customHeight="1" x14ac:dyDescent="0.3">
      <c r="F358" s="5"/>
      <c r="I358" s="6"/>
      <c r="K358" s="5"/>
      <c r="M358" s="5"/>
      <c r="O358" s="5"/>
      <c r="Q358" s="5"/>
      <c r="S358" s="5"/>
      <c r="U358" s="5"/>
      <c r="W358" s="5"/>
      <c r="Y358" s="5"/>
    </row>
    <row r="359" spans="6:25" ht="15.75" customHeight="1" x14ac:dyDescent="0.3">
      <c r="F359" s="5"/>
      <c r="I359" s="6"/>
      <c r="K359" s="5"/>
      <c r="M359" s="5"/>
      <c r="O359" s="5"/>
      <c r="Q359" s="5"/>
      <c r="S359" s="5"/>
      <c r="U359" s="5"/>
      <c r="W359" s="5"/>
      <c r="Y359" s="5"/>
    </row>
    <row r="360" spans="6:25" ht="15.75" customHeight="1" x14ac:dyDescent="0.3">
      <c r="F360" s="5"/>
      <c r="I360" s="6"/>
      <c r="K360" s="5"/>
      <c r="M360" s="5"/>
      <c r="O360" s="5"/>
      <c r="Q360" s="5"/>
      <c r="S360" s="5"/>
      <c r="U360" s="5"/>
      <c r="W360" s="5"/>
      <c r="Y360" s="5"/>
    </row>
    <row r="361" spans="6:25" ht="15.75" customHeight="1" x14ac:dyDescent="0.3">
      <c r="F361" s="5"/>
      <c r="I361" s="6"/>
      <c r="K361" s="5"/>
      <c r="M361" s="5"/>
      <c r="O361" s="5"/>
      <c r="Q361" s="5"/>
      <c r="S361" s="5"/>
      <c r="U361" s="5"/>
      <c r="W361" s="5"/>
      <c r="Y361" s="5"/>
    </row>
    <row r="362" spans="6:25" ht="15.75" customHeight="1" x14ac:dyDescent="0.3">
      <c r="F362" s="5"/>
      <c r="I362" s="6"/>
      <c r="K362" s="5"/>
      <c r="M362" s="5"/>
      <c r="O362" s="5"/>
      <c r="Q362" s="5"/>
      <c r="S362" s="5"/>
      <c r="U362" s="5"/>
      <c r="W362" s="5"/>
      <c r="Y362" s="5"/>
    </row>
    <row r="363" spans="6:25" ht="15.75" customHeight="1" x14ac:dyDescent="0.3">
      <c r="F363" s="5"/>
      <c r="I363" s="6"/>
      <c r="K363" s="5"/>
      <c r="M363" s="5"/>
      <c r="O363" s="5"/>
      <c r="Q363" s="5"/>
      <c r="S363" s="5"/>
      <c r="U363" s="5"/>
      <c r="W363" s="5"/>
      <c r="Y363" s="5"/>
    </row>
    <row r="364" spans="6:25" ht="15.75" customHeight="1" x14ac:dyDescent="0.3">
      <c r="F364" s="5"/>
      <c r="I364" s="6"/>
      <c r="K364" s="5"/>
      <c r="M364" s="5"/>
      <c r="O364" s="5"/>
      <c r="Q364" s="5"/>
      <c r="S364" s="5"/>
      <c r="U364" s="5"/>
      <c r="W364" s="5"/>
      <c r="Y364" s="5"/>
    </row>
    <row r="365" spans="6:25" ht="15.75" customHeight="1" x14ac:dyDescent="0.3">
      <c r="F365" s="5"/>
      <c r="I365" s="6"/>
      <c r="K365" s="5"/>
      <c r="M365" s="5"/>
      <c r="O365" s="5"/>
      <c r="Q365" s="5"/>
      <c r="S365" s="5"/>
      <c r="U365" s="5"/>
      <c r="W365" s="5"/>
      <c r="Y365" s="5"/>
    </row>
    <row r="366" spans="6:25" ht="15.75" customHeight="1" x14ac:dyDescent="0.3">
      <c r="F366" s="5"/>
      <c r="I366" s="6"/>
      <c r="K366" s="5"/>
      <c r="M366" s="5"/>
      <c r="O366" s="5"/>
      <c r="Q366" s="5"/>
      <c r="S366" s="5"/>
      <c r="U366" s="5"/>
      <c r="W366" s="5"/>
      <c r="Y366" s="5"/>
    </row>
    <row r="367" spans="6:25" ht="15.75" customHeight="1" x14ac:dyDescent="0.3">
      <c r="F367" s="5"/>
      <c r="I367" s="6"/>
      <c r="K367" s="5"/>
      <c r="M367" s="5"/>
      <c r="O367" s="5"/>
      <c r="Q367" s="5"/>
      <c r="S367" s="5"/>
      <c r="U367" s="5"/>
      <c r="W367" s="5"/>
      <c r="Y367" s="5"/>
    </row>
    <row r="368" spans="6:25" ht="15.75" customHeight="1" x14ac:dyDescent="0.3">
      <c r="F368" s="5"/>
      <c r="I368" s="6"/>
      <c r="K368" s="5"/>
      <c r="M368" s="5"/>
      <c r="O368" s="5"/>
      <c r="Q368" s="5"/>
      <c r="S368" s="5"/>
      <c r="U368" s="5"/>
      <c r="W368" s="5"/>
      <c r="Y368" s="5"/>
    </row>
    <row r="369" spans="6:25" ht="15.75" customHeight="1" x14ac:dyDescent="0.3">
      <c r="F369" s="5"/>
      <c r="I369" s="6"/>
      <c r="K369" s="5"/>
      <c r="M369" s="5"/>
      <c r="O369" s="5"/>
      <c r="Q369" s="5"/>
      <c r="S369" s="5"/>
      <c r="U369" s="5"/>
      <c r="W369" s="5"/>
      <c r="Y369" s="5"/>
    </row>
    <row r="370" spans="6:25" ht="15.75" customHeight="1" x14ac:dyDescent="0.3">
      <c r="F370" s="5"/>
      <c r="I370" s="6"/>
      <c r="K370" s="5"/>
      <c r="M370" s="5"/>
      <c r="O370" s="5"/>
      <c r="Q370" s="5"/>
      <c r="S370" s="5"/>
      <c r="U370" s="5"/>
      <c r="W370" s="5"/>
      <c r="Y370" s="5"/>
    </row>
    <row r="371" spans="6:25" ht="15.75" customHeight="1" x14ac:dyDescent="0.3">
      <c r="F371" s="5"/>
      <c r="I371" s="6"/>
      <c r="K371" s="5"/>
      <c r="M371" s="5"/>
      <c r="O371" s="5"/>
      <c r="Q371" s="5"/>
      <c r="S371" s="5"/>
      <c r="U371" s="5"/>
      <c r="W371" s="5"/>
      <c r="Y371" s="5"/>
    </row>
    <row r="372" spans="6:25" ht="15.75" customHeight="1" x14ac:dyDescent="0.3">
      <c r="F372" s="5"/>
      <c r="I372" s="6"/>
      <c r="K372" s="5"/>
      <c r="M372" s="5"/>
      <c r="O372" s="5"/>
      <c r="Q372" s="5"/>
      <c r="S372" s="5"/>
      <c r="U372" s="5"/>
      <c r="W372" s="5"/>
      <c r="Y372" s="5"/>
    </row>
    <row r="373" spans="6:25" ht="15.75" customHeight="1" x14ac:dyDescent="0.3">
      <c r="F373" s="5"/>
      <c r="I373" s="6"/>
      <c r="K373" s="5"/>
      <c r="M373" s="5"/>
      <c r="O373" s="5"/>
      <c r="Q373" s="5"/>
      <c r="S373" s="5"/>
      <c r="U373" s="5"/>
      <c r="W373" s="5"/>
      <c r="Y373" s="5"/>
    </row>
    <row r="374" spans="6:25" ht="15.75" customHeight="1" x14ac:dyDescent="0.3">
      <c r="F374" s="5"/>
      <c r="I374" s="6"/>
      <c r="K374" s="5"/>
      <c r="M374" s="5"/>
      <c r="O374" s="5"/>
      <c r="Q374" s="5"/>
      <c r="S374" s="5"/>
      <c r="U374" s="5"/>
      <c r="W374" s="5"/>
      <c r="Y374" s="5"/>
    </row>
    <row r="375" spans="6:25" ht="15.75" customHeight="1" x14ac:dyDescent="0.3">
      <c r="F375" s="5"/>
      <c r="I375" s="6"/>
      <c r="K375" s="5"/>
      <c r="M375" s="5"/>
      <c r="O375" s="5"/>
      <c r="Q375" s="5"/>
      <c r="S375" s="5"/>
      <c r="U375" s="5"/>
      <c r="W375" s="5"/>
      <c r="Y375" s="5"/>
    </row>
    <row r="376" spans="6:25" ht="15.75" customHeight="1" x14ac:dyDescent="0.3">
      <c r="F376" s="5"/>
      <c r="I376" s="6"/>
      <c r="K376" s="5"/>
      <c r="M376" s="5"/>
      <c r="O376" s="5"/>
      <c r="Q376" s="5"/>
      <c r="S376" s="5"/>
      <c r="U376" s="5"/>
      <c r="W376" s="5"/>
      <c r="Y376" s="5"/>
    </row>
    <row r="377" spans="6:25" ht="15.75" customHeight="1" x14ac:dyDescent="0.3">
      <c r="F377" s="5"/>
      <c r="I377" s="6"/>
      <c r="K377" s="5"/>
      <c r="M377" s="5"/>
      <c r="O377" s="5"/>
      <c r="Q377" s="5"/>
      <c r="S377" s="5"/>
      <c r="U377" s="5"/>
      <c r="W377" s="5"/>
      <c r="Y377" s="5"/>
    </row>
    <row r="378" spans="6:25" ht="15.75" customHeight="1" x14ac:dyDescent="0.3">
      <c r="F378" s="5"/>
      <c r="I378" s="6"/>
      <c r="K378" s="5"/>
      <c r="M378" s="5"/>
      <c r="O378" s="5"/>
      <c r="Q378" s="5"/>
      <c r="S378" s="5"/>
      <c r="U378" s="5"/>
      <c r="W378" s="5"/>
      <c r="Y378" s="5"/>
    </row>
    <row r="379" spans="6:25" ht="15.75" customHeight="1" x14ac:dyDescent="0.3">
      <c r="F379" s="5"/>
      <c r="I379" s="6"/>
      <c r="K379" s="5"/>
      <c r="M379" s="5"/>
      <c r="O379" s="5"/>
      <c r="Q379" s="5"/>
      <c r="S379" s="5"/>
      <c r="U379" s="5"/>
      <c r="W379" s="5"/>
      <c r="Y379" s="5"/>
    </row>
    <row r="380" spans="6:25" ht="15.75" customHeight="1" x14ac:dyDescent="0.3">
      <c r="F380" s="5"/>
      <c r="I380" s="6"/>
      <c r="K380" s="5"/>
      <c r="M380" s="5"/>
      <c r="O380" s="5"/>
      <c r="Q380" s="5"/>
      <c r="S380" s="5"/>
      <c r="U380" s="5"/>
      <c r="W380" s="5"/>
      <c r="Y380" s="5"/>
    </row>
    <row r="381" spans="6:25" ht="15.75" customHeight="1" x14ac:dyDescent="0.3">
      <c r="F381" s="5"/>
      <c r="I381" s="6"/>
      <c r="K381" s="5"/>
      <c r="M381" s="5"/>
      <c r="O381" s="5"/>
      <c r="Q381" s="5"/>
      <c r="S381" s="5"/>
      <c r="U381" s="5"/>
      <c r="W381" s="5"/>
      <c r="Y381" s="5"/>
    </row>
    <row r="382" spans="6:25" ht="15.75" customHeight="1" x14ac:dyDescent="0.3">
      <c r="F382" s="5"/>
      <c r="I382" s="6"/>
      <c r="K382" s="5"/>
      <c r="M382" s="5"/>
      <c r="O382" s="5"/>
      <c r="Q382" s="5"/>
      <c r="S382" s="5"/>
      <c r="U382" s="5"/>
      <c r="W382" s="5"/>
      <c r="Y382" s="5"/>
    </row>
    <row r="383" spans="6:25" ht="15.75" customHeight="1" x14ac:dyDescent="0.3">
      <c r="F383" s="5"/>
      <c r="I383" s="6"/>
      <c r="K383" s="5"/>
      <c r="M383" s="5"/>
      <c r="O383" s="5"/>
      <c r="Q383" s="5"/>
      <c r="S383" s="5"/>
      <c r="U383" s="5"/>
      <c r="W383" s="5"/>
      <c r="Y383" s="5"/>
    </row>
    <row r="384" spans="6:25" ht="15.75" customHeight="1" x14ac:dyDescent="0.3">
      <c r="F384" s="5"/>
      <c r="I384" s="6"/>
      <c r="K384" s="5"/>
      <c r="M384" s="5"/>
      <c r="O384" s="5"/>
      <c r="Q384" s="5"/>
      <c r="S384" s="5"/>
      <c r="U384" s="5"/>
      <c r="W384" s="5"/>
      <c r="Y384" s="5"/>
    </row>
    <row r="385" spans="6:25" ht="15.75" customHeight="1" x14ac:dyDescent="0.3">
      <c r="F385" s="5"/>
      <c r="I385" s="6"/>
      <c r="K385" s="5"/>
      <c r="M385" s="5"/>
      <c r="O385" s="5"/>
      <c r="Q385" s="5"/>
      <c r="S385" s="5"/>
      <c r="U385" s="5"/>
      <c r="W385" s="5"/>
      <c r="Y385" s="5"/>
    </row>
    <row r="386" spans="6:25" ht="15.75" customHeight="1" x14ac:dyDescent="0.3">
      <c r="F386" s="5"/>
      <c r="I386" s="6"/>
      <c r="K386" s="5"/>
      <c r="M386" s="5"/>
      <c r="O386" s="5"/>
      <c r="Q386" s="5"/>
      <c r="S386" s="5"/>
      <c r="U386" s="5"/>
      <c r="W386" s="5"/>
      <c r="Y386" s="5"/>
    </row>
    <row r="387" spans="6:25" ht="15.75" customHeight="1" x14ac:dyDescent="0.3">
      <c r="F387" s="5"/>
      <c r="I387" s="6"/>
      <c r="K387" s="5"/>
      <c r="M387" s="5"/>
      <c r="O387" s="5"/>
      <c r="Q387" s="5"/>
      <c r="S387" s="5"/>
      <c r="U387" s="5"/>
      <c r="W387" s="5"/>
      <c r="Y387" s="5"/>
    </row>
    <row r="388" spans="6:25" ht="15.75" customHeight="1" x14ac:dyDescent="0.3">
      <c r="F388" s="5"/>
      <c r="I388" s="6"/>
      <c r="K388" s="5"/>
      <c r="M388" s="5"/>
      <c r="O388" s="5"/>
      <c r="Q388" s="5"/>
      <c r="S388" s="5"/>
      <c r="U388" s="5"/>
      <c r="W388" s="5"/>
      <c r="Y388" s="5"/>
    </row>
    <row r="389" spans="6:25" ht="15.75" customHeight="1" x14ac:dyDescent="0.3">
      <c r="F389" s="5"/>
      <c r="I389" s="6"/>
      <c r="K389" s="5"/>
      <c r="M389" s="5"/>
      <c r="O389" s="5"/>
      <c r="Q389" s="5"/>
      <c r="S389" s="5"/>
      <c r="U389" s="5"/>
      <c r="W389" s="5"/>
      <c r="Y389" s="5"/>
    </row>
    <row r="390" spans="6:25" ht="15.75" customHeight="1" x14ac:dyDescent="0.3">
      <c r="F390" s="5"/>
      <c r="I390" s="6"/>
      <c r="K390" s="5"/>
      <c r="M390" s="5"/>
      <c r="O390" s="5"/>
      <c r="Q390" s="5"/>
      <c r="S390" s="5"/>
      <c r="U390" s="5"/>
      <c r="W390" s="5"/>
      <c r="Y390" s="5"/>
    </row>
    <row r="391" spans="6:25" ht="15.75" customHeight="1" x14ac:dyDescent="0.3">
      <c r="F391" s="5"/>
      <c r="I391" s="6"/>
      <c r="K391" s="5"/>
      <c r="M391" s="5"/>
      <c r="O391" s="5"/>
      <c r="Q391" s="5"/>
      <c r="S391" s="5"/>
      <c r="U391" s="5"/>
      <c r="W391" s="5"/>
      <c r="Y391" s="5"/>
    </row>
    <row r="392" spans="6:25" ht="15.75" customHeight="1" x14ac:dyDescent="0.3">
      <c r="F392" s="5"/>
      <c r="I392" s="6"/>
      <c r="K392" s="5"/>
      <c r="M392" s="5"/>
      <c r="O392" s="5"/>
      <c r="Q392" s="5"/>
      <c r="S392" s="5"/>
      <c r="U392" s="5"/>
      <c r="W392" s="5"/>
      <c r="Y392" s="5"/>
    </row>
    <row r="393" spans="6:25" ht="15.75" customHeight="1" x14ac:dyDescent="0.3">
      <c r="F393" s="5"/>
      <c r="I393" s="6"/>
      <c r="K393" s="5"/>
      <c r="M393" s="5"/>
      <c r="O393" s="5"/>
      <c r="Q393" s="5"/>
      <c r="S393" s="5"/>
      <c r="U393" s="5"/>
      <c r="W393" s="5"/>
      <c r="Y393" s="5"/>
    </row>
    <row r="394" spans="6:25" ht="15.75" customHeight="1" x14ac:dyDescent="0.3">
      <c r="F394" s="5"/>
      <c r="I394" s="6"/>
      <c r="K394" s="5"/>
      <c r="M394" s="5"/>
      <c r="O394" s="5"/>
      <c r="Q394" s="5"/>
      <c r="S394" s="5"/>
      <c r="U394" s="5"/>
      <c r="W394" s="5"/>
      <c r="Y394" s="5"/>
    </row>
    <row r="395" spans="6:25" ht="15.75" customHeight="1" x14ac:dyDescent="0.3">
      <c r="F395" s="5"/>
      <c r="I395" s="6"/>
      <c r="K395" s="5"/>
      <c r="M395" s="5"/>
      <c r="O395" s="5"/>
      <c r="Q395" s="5"/>
      <c r="S395" s="5"/>
      <c r="U395" s="5"/>
      <c r="W395" s="5"/>
      <c r="Y395" s="5"/>
    </row>
    <row r="396" spans="6:25" ht="15.75" customHeight="1" x14ac:dyDescent="0.3">
      <c r="F396" s="5"/>
      <c r="I396" s="6"/>
      <c r="K396" s="5"/>
      <c r="M396" s="5"/>
      <c r="O396" s="5"/>
      <c r="Q396" s="5"/>
      <c r="S396" s="5"/>
      <c r="U396" s="5"/>
      <c r="W396" s="5"/>
      <c r="Y396" s="5"/>
    </row>
    <row r="397" spans="6:25" ht="15.75" customHeight="1" x14ac:dyDescent="0.3">
      <c r="F397" s="5"/>
      <c r="I397" s="6"/>
      <c r="K397" s="5"/>
      <c r="M397" s="5"/>
      <c r="O397" s="5"/>
      <c r="Q397" s="5"/>
      <c r="S397" s="5"/>
      <c r="U397" s="5"/>
      <c r="W397" s="5"/>
      <c r="Y397" s="5"/>
    </row>
    <row r="398" spans="6:25" ht="15.75" customHeight="1" x14ac:dyDescent="0.3">
      <c r="F398" s="5"/>
      <c r="I398" s="6"/>
      <c r="K398" s="5"/>
      <c r="M398" s="5"/>
      <c r="O398" s="5"/>
      <c r="Q398" s="5"/>
      <c r="S398" s="5"/>
      <c r="U398" s="5"/>
      <c r="W398" s="5"/>
      <c r="Y398" s="5"/>
    </row>
    <row r="399" spans="6:25" ht="15.75" customHeight="1" x14ac:dyDescent="0.3">
      <c r="F399" s="5"/>
      <c r="I399" s="6"/>
      <c r="K399" s="5"/>
      <c r="M399" s="5"/>
      <c r="O399" s="5"/>
      <c r="Q399" s="5"/>
      <c r="S399" s="5"/>
      <c r="U399" s="5"/>
      <c r="W399" s="5"/>
      <c r="Y399" s="5"/>
    </row>
    <row r="400" spans="6:25" ht="15.75" customHeight="1" x14ac:dyDescent="0.3">
      <c r="F400" s="5"/>
      <c r="I400" s="6"/>
      <c r="K400" s="5"/>
      <c r="M400" s="5"/>
      <c r="O400" s="5"/>
      <c r="Q400" s="5"/>
      <c r="S400" s="5"/>
      <c r="U400" s="5"/>
      <c r="W400" s="5"/>
      <c r="Y400" s="5"/>
    </row>
    <row r="401" spans="6:25" ht="15.75" customHeight="1" x14ac:dyDescent="0.3">
      <c r="F401" s="5"/>
      <c r="I401" s="6"/>
      <c r="K401" s="5"/>
      <c r="M401" s="5"/>
      <c r="O401" s="5"/>
      <c r="Q401" s="5"/>
      <c r="S401" s="5"/>
      <c r="U401" s="5"/>
      <c r="W401" s="5"/>
      <c r="Y401" s="5"/>
    </row>
    <row r="402" spans="6:25" ht="15.75" customHeight="1" x14ac:dyDescent="0.3">
      <c r="F402" s="5"/>
      <c r="I402" s="6"/>
      <c r="K402" s="5"/>
      <c r="M402" s="5"/>
      <c r="O402" s="5"/>
      <c r="Q402" s="5"/>
      <c r="S402" s="5"/>
      <c r="U402" s="5"/>
      <c r="W402" s="5"/>
      <c r="Y402" s="5"/>
    </row>
    <row r="403" spans="6:25" ht="15.75" customHeight="1" x14ac:dyDescent="0.3">
      <c r="F403" s="5"/>
      <c r="I403" s="6"/>
      <c r="K403" s="5"/>
      <c r="M403" s="5"/>
      <c r="O403" s="5"/>
      <c r="Q403" s="5"/>
      <c r="S403" s="5"/>
      <c r="U403" s="5"/>
      <c r="W403" s="5"/>
      <c r="Y403" s="5"/>
    </row>
    <row r="404" spans="6:25" ht="15.75" customHeight="1" x14ac:dyDescent="0.3">
      <c r="F404" s="5"/>
      <c r="I404" s="6"/>
      <c r="K404" s="5"/>
      <c r="M404" s="5"/>
      <c r="O404" s="5"/>
      <c r="Q404" s="5"/>
      <c r="S404" s="5"/>
      <c r="U404" s="5"/>
      <c r="W404" s="5"/>
      <c r="Y404" s="5"/>
    </row>
    <row r="405" spans="6:25" ht="15.75" customHeight="1" x14ac:dyDescent="0.3">
      <c r="F405" s="5"/>
      <c r="I405" s="6"/>
      <c r="K405" s="5"/>
      <c r="M405" s="5"/>
      <c r="O405" s="5"/>
      <c r="Q405" s="5"/>
      <c r="S405" s="5"/>
      <c r="U405" s="5"/>
      <c r="W405" s="5"/>
      <c r="Y405" s="5"/>
    </row>
    <row r="406" spans="6:25" ht="15.75" customHeight="1" x14ac:dyDescent="0.3">
      <c r="F406" s="5"/>
      <c r="I406" s="6"/>
      <c r="K406" s="5"/>
      <c r="M406" s="5"/>
      <c r="O406" s="5"/>
      <c r="Q406" s="5"/>
      <c r="S406" s="5"/>
      <c r="U406" s="5"/>
      <c r="W406" s="5"/>
      <c r="Y406" s="5"/>
    </row>
    <row r="407" spans="6:25" ht="15.75" customHeight="1" x14ac:dyDescent="0.3">
      <c r="F407" s="5"/>
      <c r="I407" s="6"/>
      <c r="K407" s="5"/>
      <c r="M407" s="5"/>
      <c r="O407" s="5"/>
      <c r="Q407" s="5"/>
      <c r="S407" s="5"/>
      <c r="U407" s="5"/>
      <c r="W407" s="5"/>
      <c r="Y407" s="5"/>
    </row>
    <row r="408" spans="6:25" ht="15.75" customHeight="1" x14ac:dyDescent="0.3">
      <c r="F408" s="5"/>
      <c r="I408" s="6"/>
      <c r="K408" s="5"/>
      <c r="M408" s="5"/>
      <c r="O408" s="5"/>
      <c r="Q408" s="5"/>
      <c r="S408" s="5"/>
      <c r="U408" s="5"/>
      <c r="W408" s="5"/>
      <c r="Y408" s="5"/>
    </row>
    <row r="409" spans="6:25" ht="15.75" customHeight="1" x14ac:dyDescent="0.3">
      <c r="F409" s="5"/>
      <c r="I409" s="6"/>
      <c r="K409" s="5"/>
      <c r="M409" s="5"/>
      <c r="O409" s="5"/>
      <c r="Q409" s="5"/>
      <c r="S409" s="5"/>
      <c r="U409" s="5"/>
      <c r="W409" s="5"/>
      <c r="Y409" s="5"/>
    </row>
    <row r="410" spans="6:25" ht="15.75" customHeight="1" x14ac:dyDescent="0.3">
      <c r="F410" s="5"/>
      <c r="I410" s="6"/>
      <c r="K410" s="5"/>
      <c r="M410" s="5"/>
      <c r="O410" s="5"/>
      <c r="Q410" s="5"/>
      <c r="S410" s="5"/>
      <c r="U410" s="5"/>
      <c r="W410" s="5"/>
      <c r="Y410" s="5"/>
    </row>
    <row r="411" spans="6:25" ht="15.75" customHeight="1" x14ac:dyDescent="0.3">
      <c r="F411" s="5"/>
      <c r="I411" s="6"/>
      <c r="K411" s="5"/>
      <c r="M411" s="5"/>
      <c r="O411" s="5"/>
      <c r="Q411" s="5"/>
      <c r="S411" s="5"/>
      <c r="U411" s="5"/>
      <c r="W411" s="5"/>
      <c r="Y411" s="5"/>
    </row>
    <row r="412" spans="6:25" ht="15.75" customHeight="1" x14ac:dyDescent="0.3">
      <c r="F412" s="5"/>
      <c r="I412" s="6"/>
      <c r="K412" s="5"/>
      <c r="M412" s="5"/>
      <c r="O412" s="5"/>
      <c r="Q412" s="5"/>
      <c r="S412" s="5"/>
      <c r="U412" s="5"/>
      <c r="W412" s="5"/>
      <c r="Y412" s="5"/>
    </row>
    <row r="413" spans="6:25" ht="15.75" customHeight="1" x14ac:dyDescent="0.3">
      <c r="F413" s="5"/>
      <c r="I413" s="6"/>
      <c r="K413" s="5"/>
      <c r="M413" s="5"/>
      <c r="O413" s="5"/>
      <c r="Q413" s="5"/>
      <c r="S413" s="5"/>
      <c r="U413" s="5"/>
      <c r="W413" s="5"/>
      <c r="Y413" s="5"/>
    </row>
    <row r="414" spans="6:25" ht="15.75" customHeight="1" x14ac:dyDescent="0.3">
      <c r="F414" s="5"/>
      <c r="I414" s="6"/>
      <c r="K414" s="5"/>
      <c r="M414" s="5"/>
      <c r="O414" s="5"/>
      <c r="Q414" s="5"/>
      <c r="S414" s="5"/>
      <c r="U414" s="5"/>
      <c r="W414" s="5"/>
      <c r="Y414" s="5"/>
    </row>
    <row r="415" spans="6:25" ht="15.75" customHeight="1" x14ac:dyDescent="0.3">
      <c r="F415" s="5"/>
      <c r="I415" s="6"/>
      <c r="K415" s="5"/>
      <c r="M415" s="5"/>
      <c r="O415" s="5"/>
      <c r="Q415" s="5"/>
      <c r="S415" s="5"/>
      <c r="U415" s="5"/>
      <c r="W415" s="5"/>
      <c r="Y415" s="5"/>
    </row>
    <row r="416" spans="6:25" ht="15.75" customHeight="1" x14ac:dyDescent="0.3">
      <c r="F416" s="5"/>
      <c r="I416" s="6"/>
      <c r="K416" s="5"/>
      <c r="M416" s="5"/>
      <c r="O416" s="5"/>
      <c r="Q416" s="5"/>
      <c r="S416" s="5"/>
      <c r="U416" s="5"/>
      <c r="W416" s="5"/>
      <c r="Y416" s="5"/>
    </row>
    <row r="417" spans="6:25" ht="15.75" customHeight="1" x14ac:dyDescent="0.3">
      <c r="F417" s="5"/>
      <c r="I417" s="6"/>
      <c r="K417" s="5"/>
      <c r="M417" s="5"/>
      <c r="O417" s="5"/>
      <c r="Q417" s="5"/>
      <c r="S417" s="5"/>
      <c r="U417" s="5"/>
      <c r="W417" s="5"/>
      <c r="Y417" s="5"/>
    </row>
    <row r="418" spans="6:25" ht="15.75" customHeight="1" x14ac:dyDescent="0.3">
      <c r="F418" s="5"/>
      <c r="I418" s="6"/>
      <c r="K418" s="5"/>
      <c r="M418" s="5"/>
      <c r="O418" s="5"/>
      <c r="Q418" s="5"/>
      <c r="S418" s="5"/>
      <c r="U418" s="5"/>
      <c r="W418" s="5"/>
      <c r="Y418" s="5"/>
    </row>
    <row r="419" spans="6:25" ht="15.75" customHeight="1" x14ac:dyDescent="0.3">
      <c r="F419" s="5"/>
      <c r="I419" s="6"/>
      <c r="K419" s="5"/>
      <c r="M419" s="5"/>
      <c r="O419" s="5"/>
      <c r="Q419" s="5"/>
      <c r="S419" s="5"/>
      <c r="U419" s="5"/>
      <c r="W419" s="5"/>
      <c r="Y419" s="5"/>
    </row>
    <row r="420" spans="6:25" ht="15.75" customHeight="1" x14ac:dyDescent="0.3">
      <c r="F420" s="5"/>
      <c r="I420" s="6"/>
      <c r="K420" s="5"/>
      <c r="M420" s="5"/>
      <c r="O420" s="5"/>
      <c r="Q420" s="5"/>
      <c r="S420" s="5"/>
      <c r="U420" s="5"/>
      <c r="W420" s="5"/>
      <c r="Y420" s="5"/>
    </row>
    <row r="421" spans="6:25" ht="15.75" customHeight="1" x14ac:dyDescent="0.3">
      <c r="F421" s="5"/>
      <c r="I421" s="6"/>
      <c r="K421" s="5"/>
      <c r="M421" s="5"/>
      <c r="O421" s="5"/>
      <c r="Q421" s="5"/>
      <c r="S421" s="5"/>
      <c r="U421" s="5"/>
      <c r="W421" s="5"/>
      <c r="Y421" s="5"/>
    </row>
    <row r="422" spans="6:25" ht="15.75" customHeight="1" x14ac:dyDescent="0.3">
      <c r="F422" s="5"/>
      <c r="I422" s="6"/>
      <c r="K422" s="5"/>
      <c r="M422" s="5"/>
      <c r="O422" s="5"/>
      <c r="Q422" s="5"/>
      <c r="S422" s="5"/>
      <c r="U422" s="5"/>
      <c r="W422" s="5"/>
      <c r="Y422" s="5"/>
    </row>
    <row r="423" spans="6:25" ht="15.75" customHeight="1" x14ac:dyDescent="0.3">
      <c r="F423" s="5"/>
      <c r="I423" s="6"/>
      <c r="K423" s="5"/>
      <c r="M423" s="5"/>
      <c r="O423" s="5"/>
      <c r="Q423" s="5"/>
      <c r="S423" s="5"/>
      <c r="U423" s="5"/>
      <c r="W423" s="5"/>
      <c r="Y423" s="5"/>
    </row>
    <row r="424" spans="6:25" ht="15.75" customHeight="1" x14ac:dyDescent="0.3">
      <c r="F424" s="5"/>
      <c r="I424" s="6"/>
      <c r="K424" s="5"/>
      <c r="M424" s="5"/>
      <c r="O424" s="5"/>
      <c r="Q424" s="5"/>
      <c r="S424" s="5"/>
      <c r="U424" s="5"/>
      <c r="W424" s="5"/>
      <c r="Y424" s="5"/>
    </row>
    <row r="425" spans="6:25" ht="15.75" customHeight="1" x14ac:dyDescent="0.3">
      <c r="F425" s="5"/>
      <c r="I425" s="6"/>
      <c r="K425" s="5"/>
      <c r="M425" s="5"/>
      <c r="O425" s="5"/>
      <c r="Q425" s="5"/>
      <c r="S425" s="5"/>
      <c r="U425" s="5"/>
      <c r="W425" s="5"/>
      <c r="Y425" s="5"/>
    </row>
    <row r="426" spans="6:25" ht="15.75" customHeight="1" x14ac:dyDescent="0.3">
      <c r="F426" s="5"/>
      <c r="I426" s="6"/>
      <c r="K426" s="5"/>
      <c r="M426" s="5"/>
      <c r="O426" s="5"/>
      <c r="Q426" s="5"/>
      <c r="S426" s="5"/>
      <c r="U426" s="5"/>
      <c r="W426" s="5"/>
      <c r="Y426" s="5"/>
    </row>
    <row r="427" spans="6:25" ht="15.75" customHeight="1" x14ac:dyDescent="0.3">
      <c r="F427" s="5"/>
      <c r="I427" s="6"/>
      <c r="K427" s="5"/>
      <c r="M427" s="5"/>
      <c r="O427" s="5"/>
      <c r="Q427" s="5"/>
      <c r="S427" s="5"/>
      <c r="U427" s="5"/>
      <c r="W427" s="5"/>
      <c r="Y427" s="5"/>
    </row>
    <row r="428" spans="6:25" ht="15.75" customHeight="1" x14ac:dyDescent="0.3">
      <c r="F428" s="5"/>
      <c r="I428" s="6"/>
      <c r="K428" s="5"/>
      <c r="M428" s="5"/>
      <c r="O428" s="5"/>
      <c r="Q428" s="5"/>
      <c r="S428" s="5"/>
      <c r="U428" s="5"/>
      <c r="W428" s="5"/>
      <c r="Y428" s="5"/>
    </row>
    <row r="429" spans="6:25" ht="15.75" customHeight="1" x14ac:dyDescent="0.3">
      <c r="F429" s="5"/>
      <c r="I429" s="6"/>
      <c r="K429" s="5"/>
      <c r="M429" s="5"/>
      <c r="O429" s="5"/>
      <c r="Q429" s="5"/>
      <c r="S429" s="5"/>
      <c r="U429" s="5"/>
      <c r="W429" s="5"/>
      <c r="Y429" s="5"/>
    </row>
    <row r="430" spans="6:25" ht="15.75" customHeight="1" x14ac:dyDescent="0.3">
      <c r="F430" s="5"/>
      <c r="I430" s="6"/>
      <c r="K430" s="5"/>
      <c r="M430" s="5"/>
      <c r="O430" s="5"/>
      <c r="Q430" s="5"/>
      <c r="S430" s="5"/>
      <c r="U430" s="5"/>
      <c r="W430" s="5"/>
      <c r="Y430" s="5"/>
    </row>
    <row r="431" spans="6:25" ht="15.75" customHeight="1" x14ac:dyDescent="0.3">
      <c r="F431" s="5"/>
      <c r="I431" s="6"/>
      <c r="K431" s="5"/>
      <c r="M431" s="5"/>
      <c r="O431" s="5"/>
      <c r="Q431" s="5"/>
      <c r="S431" s="5"/>
      <c r="U431" s="5"/>
      <c r="W431" s="5"/>
      <c r="Y431" s="5"/>
    </row>
    <row r="432" spans="6:25" ht="15.75" customHeight="1" x14ac:dyDescent="0.3">
      <c r="F432" s="5"/>
      <c r="I432" s="6"/>
      <c r="K432" s="5"/>
      <c r="M432" s="5"/>
      <c r="O432" s="5"/>
      <c r="Q432" s="5"/>
      <c r="S432" s="5"/>
      <c r="U432" s="5"/>
      <c r="W432" s="5"/>
      <c r="Y432" s="5"/>
    </row>
    <row r="433" spans="6:25" ht="15.75" customHeight="1" x14ac:dyDescent="0.3">
      <c r="F433" s="5"/>
      <c r="I433" s="6"/>
      <c r="K433" s="5"/>
      <c r="M433" s="5"/>
      <c r="O433" s="5"/>
      <c r="Q433" s="5"/>
      <c r="S433" s="5"/>
      <c r="U433" s="5"/>
      <c r="W433" s="5"/>
      <c r="Y433" s="5"/>
    </row>
    <row r="434" spans="6:25" ht="15.75" customHeight="1" x14ac:dyDescent="0.3">
      <c r="F434" s="5"/>
      <c r="I434" s="6"/>
      <c r="K434" s="5"/>
      <c r="M434" s="5"/>
      <c r="O434" s="5"/>
      <c r="Q434" s="5"/>
      <c r="S434" s="5"/>
      <c r="U434" s="5"/>
      <c r="W434" s="5"/>
      <c r="Y434" s="5"/>
    </row>
    <row r="435" spans="6:25" ht="15.75" customHeight="1" x14ac:dyDescent="0.3">
      <c r="F435" s="5"/>
      <c r="I435" s="6"/>
      <c r="K435" s="5"/>
      <c r="M435" s="5"/>
      <c r="O435" s="5"/>
      <c r="Q435" s="5"/>
      <c r="S435" s="5"/>
      <c r="U435" s="5"/>
      <c r="W435" s="5"/>
      <c r="Y435" s="5"/>
    </row>
    <row r="436" spans="6:25" ht="15.75" customHeight="1" x14ac:dyDescent="0.3">
      <c r="F436" s="5"/>
      <c r="I436" s="6"/>
      <c r="K436" s="5"/>
      <c r="M436" s="5"/>
      <c r="O436" s="5"/>
      <c r="Q436" s="5"/>
      <c r="S436" s="5"/>
      <c r="U436" s="5"/>
      <c r="W436" s="5"/>
      <c r="Y436" s="5"/>
    </row>
    <row r="437" spans="6:25" ht="15.75" customHeight="1" x14ac:dyDescent="0.3">
      <c r="F437" s="5"/>
      <c r="I437" s="6"/>
      <c r="K437" s="5"/>
      <c r="M437" s="5"/>
      <c r="O437" s="5"/>
      <c r="Q437" s="5"/>
      <c r="S437" s="5"/>
      <c r="U437" s="5"/>
      <c r="W437" s="5"/>
      <c r="Y437" s="5"/>
    </row>
    <row r="438" spans="6:25" ht="15.75" customHeight="1" x14ac:dyDescent="0.3">
      <c r="F438" s="5"/>
      <c r="I438" s="6"/>
      <c r="K438" s="5"/>
      <c r="M438" s="5"/>
      <c r="O438" s="5"/>
      <c r="Q438" s="5"/>
      <c r="S438" s="5"/>
      <c r="U438" s="5"/>
      <c r="W438" s="5"/>
      <c r="Y438" s="5"/>
    </row>
    <row r="439" spans="6:25" ht="15.75" customHeight="1" x14ac:dyDescent="0.3">
      <c r="F439" s="5"/>
      <c r="I439" s="6"/>
      <c r="K439" s="5"/>
      <c r="M439" s="5"/>
      <c r="O439" s="5"/>
      <c r="Q439" s="5"/>
      <c r="S439" s="5"/>
      <c r="U439" s="5"/>
      <c r="W439" s="5"/>
      <c r="Y439" s="5"/>
    </row>
    <row r="440" spans="6:25" ht="15.75" customHeight="1" x14ac:dyDescent="0.3">
      <c r="F440" s="5"/>
      <c r="I440" s="6"/>
      <c r="K440" s="5"/>
      <c r="M440" s="5"/>
      <c r="O440" s="5"/>
      <c r="Q440" s="5"/>
      <c r="S440" s="5"/>
      <c r="U440" s="5"/>
      <c r="W440" s="5"/>
      <c r="Y440" s="5"/>
    </row>
    <row r="441" spans="6:25" ht="15.75" customHeight="1" x14ac:dyDescent="0.3">
      <c r="F441" s="5"/>
      <c r="I441" s="6"/>
      <c r="K441" s="5"/>
      <c r="M441" s="5"/>
      <c r="O441" s="5"/>
      <c r="Q441" s="5"/>
      <c r="S441" s="5"/>
      <c r="U441" s="5"/>
      <c r="W441" s="5"/>
      <c r="Y441" s="5"/>
    </row>
    <row r="442" spans="6:25" ht="15.75" customHeight="1" x14ac:dyDescent="0.3">
      <c r="F442" s="5"/>
      <c r="I442" s="6"/>
      <c r="K442" s="5"/>
      <c r="M442" s="5"/>
      <c r="O442" s="5"/>
      <c r="Q442" s="5"/>
      <c r="S442" s="5"/>
      <c r="U442" s="5"/>
      <c r="W442" s="5"/>
      <c r="Y442" s="5"/>
    </row>
    <row r="443" spans="6:25" ht="15.75" customHeight="1" x14ac:dyDescent="0.3">
      <c r="F443" s="5"/>
      <c r="I443" s="6"/>
      <c r="K443" s="5"/>
      <c r="M443" s="5"/>
      <c r="O443" s="5"/>
      <c r="Q443" s="5"/>
      <c r="S443" s="5"/>
      <c r="U443" s="5"/>
      <c r="W443" s="5"/>
      <c r="Y443" s="5"/>
    </row>
    <row r="444" spans="6:25" ht="15.75" customHeight="1" x14ac:dyDescent="0.3">
      <c r="F444" s="5"/>
      <c r="I444" s="6"/>
      <c r="K444" s="5"/>
      <c r="M444" s="5"/>
      <c r="O444" s="5"/>
      <c r="Q444" s="5"/>
      <c r="S444" s="5"/>
      <c r="U444" s="5"/>
      <c r="W444" s="5"/>
      <c r="Y444" s="5"/>
    </row>
    <row r="445" spans="6:25" ht="15.75" customHeight="1" x14ac:dyDescent="0.3">
      <c r="F445" s="5"/>
      <c r="I445" s="6"/>
      <c r="K445" s="5"/>
      <c r="M445" s="5"/>
      <c r="O445" s="5"/>
      <c r="Q445" s="5"/>
      <c r="S445" s="5"/>
      <c r="U445" s="5"/>
      <c r="W445" s="5"/>
      <c r="Y445" s="5"/>
    </row>
    <row r="446" spans="6:25" ht="15.75" customHeight="1" x14ac:dyDescent="0.3">
      <c r="F446" s="5"/>
      <c r="I446" s="6"/>
      <c r="K446" s="5"/>
      <c r="M446" s="5"/>
      <c r="O446" s="5"/>
      <c r="Q446" s="5"/>
      <c r="S446" s="5"/>
      <c r="U446" s="5"/>
      <c r="W446" s="5"/>
      <c r="Y446" s="5"/>
    </row>
    <row r="447" spans="6:25" ht="15.75" customHeight="1" x14ac:dyDescent="0.3">
      <c r="F447" s="5"/>
      <c r="I447" s="6"/>
      <c r="K447" s="5"/>
      <c r="M447" s="5"/>
      <c r="O447" s="5"/>
      <c r="Q447" s="5"/>
      <c r="S447" s="5"/>
      <c r="U447" s="5"/>
      <c r="W447" s="5"/>
      <c r="Y447" s="5"/>
    </row>
    <row r="448" spans="6:25" ht="15.75" customHeight="1" x14ac:dyDescent="0.3">
      <c r="F448" s="5"/>
      <c r="I448" s="6"/>
      <c r="K448" s="5"/>
      <c r="M448" s="5"/>
      <c r="O448" s="5"/>
      <c r="Q448" s="5"/>
      <c r="S448" s="5"/>
      <c r="U448" s="5"/>
      <c r="W448" s="5"/>
      <c r="Y448" s="5"/>
    </row>
    <row r="449" spans="6:25" ht="15.75" customHeight="1" x14ac:dyDescent="0.3">
      <c r="F449" s="5"/>
      <c r="I449" s="6"/>
      <c r="K449" s="5"/>
      <c r="M449" s="5"/>
      <c r="O449" s="5"/>
      <c r="Q449" s="5"/>
      <c r="S449" s="5"/>
      <c r="U449" s="5"/>
      <c r="W449" s="5"/>
      <c r="Y449" s="5"/>
    </row>
    <row r="450" spans="6:25" ht="15.75" customHeight="1" x14ac:dyDescent="0.3">
      <c r="F450" s="5"/>
      <c r="I450" s="6"/>
      <c r="K450" s="5"/>
      <c r="M450" s="5"/>
      <c r="O450" s="5"/>
      <c r="Q450" s="5"/>
      <c r="S450" s="5"/>
      <c r="U450" s="5"/>
      <c r="W450" s="5"/>
      <c r="Y450" s="5"/>
    </row>
    <row r="451" spans="6:25" ht="15.75" customHeight="1" x14ac:dyDescent="0.3">
      <c r="F451" s="5"/>
      <c r="I451" s="6"/>
      <c r="K451" s="5"/>
      <c r="M451" s="5"/>
      <c r="O451" s="5"/>
      <c r="Q451" s="5"/>
      <c r="S451" s="5"/>
      <c r="U451" s="5"/>
      <c r="W451" s="5"/>
      <c r="Y451" s="5"/>
    </row>
    <row r="452" spans="6:25" ht="15.75" customHeight="1" x14ac:dyDescent="0.3">
      <c r="F452" s="5"/>
      <c r="I452" s="6"/>
      <c r="K452" s="5"/>
      <c r="M452" s="5"/>
      <c r="O452" s="5"/>
      <c r="Q452" s="5"/>
      <c r="S452" s="5"/>
      <c r="U452" s="5"/>
      <c r="W452" s="5"/>
      <c r="Y452" s="5"/>
    </row>
    <row r="453" spans="6:25" ht="15.75" customHeight="1" x14ac:dyDescent="0.3">
      <c r="F453" s="5"/>
      <c r="I453" s="6"/>
      <c r="K453" s="5"/>
      <c r="M453" s="5"/>
      <c r="O453" s="5"/>
      <c r="Q453" s="5"/>
      <c r="S453" s="5"/>
      <c r="U453" s="5"/>
      <c r="W453" s="5"/>
      <c r="Y453" s="5"/>
    </row>
    <row r="454" spans="6:25" ht="15.75" customHeight="1" x14ac:dyDescent="0.3">
      <c r="F454" s="5"/>
      <c r="I454" s="6"/>
      <c r="K454" s="5"/>
      <c r="M454" s="5"/>
      <c r="O454" s="5"/>
      <c r="Q454" s="5"/>
      <c r="S454" s="5"/>
      <c r="U454" s="5"/>
      <c r="W454" s="5"/>
      <c r="Y454" s="5"/>
    </row>
    <row r="455" spans="6:25" ht="15.75" customHeight="1" x14ac:dyDescent="0.3">
      <c r="F455" s="5"/>
      <c r="I455" s="6"/>
      <c r="K455" s="5"/>
      <c r="M455" s="5"/>
      <c r="O455" s="5"/>
      <c r="Q455" s="5"/>
      <c r="S455" s="5"/>
      <c r="U455" s="5"/>
      <c r="W455" s="5"/>
      <c r="Y455" s="5"/>
    </row>
    <row r="456" spans="6:25" ht="15.75" customHeight="1" x14ac:dyDescent="0.3">
      <c r="F456" s="5"/>
      <c r="I456" s="6"/>
      <c r="K456" s="5"/>
      <c r="M456" s="5"/>
      <c r="O456" s="5"/>
      <c r="Q456" s="5"/>
      <c r="S456" s="5"/>
      <c r="U456" s="5"/>
      <c r="W456" s="5"/>
      <c r="Y456" s="5"/>
    </row>
    <row r="457" spans="6:25" ht="15.75" customHeight="1" x14ac:dyDescent="0.3">
      <c r="F457" s="5"/>
      <c r="I457" s="6"/>
      <c r="K457" s="5"/>
      <c r="M457" s="5"/>
      <c r="O457" s="5"/>
      <c r="Q457" s="5"/>
      <c r="S457" s="5"/>
      <c r="U457" s="5"/>
      <c r="W457" s="5"/>
      <c r="Y457" s="5"/>
    </row>
    <row r="458" spans="6:25" ht="15.75" customHeight="1" x14ac:dyDescent="0.3">
      <c r="F458" s="5"/>
      <c r="I458" s="6"/>
      <c r="K458" s="5"/>
      <c r="M458" s="5"/>
      <c r="O458" s="5"/>
      <c r="Q458" s="5"/>
      <c r="S458" s="5"/>
      <c r="U458" s="5"/>
      <c r="W458" s="5"/>
      <c r="Y458" s="5"/>
    </row>
    <row r="459" spans="6:25" ht="15.75" customHeight="1" x14ac:dyDescent="0.3">
      <c r="F459" s="5"/>
      <c r="I459" s="6"/>
      <c r="K459" s="5"/>
      <c r="M459" s="5"/>
      <c r="O459" s="5"/>
      <c r="Q459" s="5"/>
      <c r="S459" s="5"/>
      <c r="U459" s="5"/>
      <c r="W459" s="5"/>
      <c r="Y459" s="5"/>
    </row>
    <row r="460" spans="6:25" ht="15.75" customHeight="1" x14ac:dyDescent="0.3">
      <c r="F460" s="5"/>
      <c r="I460" s="6"/>
      <c r="K460" s="5"/>
      <c r="M460" s="5"/>
      <c r="O460" s="5"/>
      <c r="Q460" s="5"/>
      <c r="S460" s="5"/>
      <c r="U460" s="5"/>
      <c r="W460" s="5"/>
      <c r="Y460" s="5"/>
    </row>
    <row r="461" spans="6:25" ht="15.75" customHeight="1" x14ac:dyDescent="0.3">
      <c r="F461" s="5"/>
      <c r="I461" s="6"/>
      <c r="K461" s="5"/>
      <c r="M461" s="5"/>
      <c r="O461" s="5"/>
      <c r="Q461" s="5"/>
      <c r="S461" s="5"/>
      <c r="U461" s="5"/>
      <c r="W461" s="5"/>
      <c r="Y461" s="5"/>
    </row>
    <row r="462" spans="6:25" ht="15.75" customHeight="1" x14ac:dyDescent="0.3">
      <c r="F462" s="5"/>
      <c r="I462" s="6"/>
      <c r="K462" s="5"/>
      <c r="M462" s="5"/>
      <c r="O462" s="5"/>
      <c r="Q462" s="5"/>
      <c r="S462" s="5"/>
      <c r="U462" s="5"/>
      <c r="W462" s="5"/>
      <c r="Y462" s="5"/>
    </row>
    <row r="463" spans="6:25" ht="15.75" customHeight="1" x14ac:dyDescent="0.3">
      <c r="F463" s="5"/>
      <c r="I463" s="6"/>
      <c r="K463" s="5"/>
      <c r="M463" s="5"/>
      <c r="O463" s="5"/>
      <c r="Q463" s="5"/>
      <c r="S463" s="5"/>
      <c r="U463" s="5"/>
      <c r="W463" s="5"/>
      <c r="Y463" s="5"/>
    </row>
    <row r="464" spans="6:25" ht="15.75" customHeight="1" x14ac:dyDescent="0.3">
      <c r="F464" s="5"/>
      <c r="I464" s="6"/>
      <c r="K464" s="5"/>
      <c r="M464" s="5"/>
      <c r="O464" s="5"/>
      <c r="Q464" s="5"/>
      <c r="S464" s="5"/>
      <c r="U464" s="5"/>
      <c r="W464" s="5"/>
      <c r="Y464" s="5"/>
    </row>
    <row r="465" spans="6:25" ht="15.75" customHeight="1" x14ac:dyDescent="0.3">
      <c r="F465" s="5"/>
      <c r="I465" s="6"/>
      <c r="K465" s="5"/>
      <c r="M465" s="5"/>
      <c r="O465" s="5"/>
      <c r="Q465" s="5"/>
      <c r="S465" s="5"/>
      <c r="U465" s="5"/>
      <c r="W465" s="5"/>
      <c r="Y465" s="5"/>
    </row>
    <row r="466" spans="6:25" ht="15.75" customHeight="1" x14ac:dyDescent="0.3">
      <c r="F466" s="5"/>
      <c r="I466" s="6"/>
      <c r="K466" s="5"/>
      <c r="M466" s="5"/>
      <c r="O466" s="5"/>
      <c r="Q466" s="5"/>
      <c r="S466" s="5"/>
      <c r="U466" s="5"/>
      <c r="W466" s="5"/>
      <c r="Y466" s="5"/>
    </row>
    <row r="467" spans="6:25" ht="15.75" customHeight="1" x14ac:dyDescent="0.3">
      <c r="F467" s="5"/>
      <c r="I467" s="6"/>
      <c r="K467" s="5"/>
      <c r="M467" s="5"/>
      <c r="O467" s="5"/>
      <c r="Q467" s="5"/>
      <c r="S467" s="5"/>
      <c r="U467" s="5"/>
      <c r="W467" s="5"/>
      <c r="Y467" s="5"/>
    </row>
    <row r="468" spans="6:25" ht="15.75" customHeight="1" x14ac:dyDescent="0.3">
      <c r="F468" s="5"/>
      <c r="I468" s="6"/>
      <c r="K468" s="5"/>
      <c r="M468" s="5"/>
      <c r="O468" s="5"/>
      <c r="Q468" s="5"/>
      <c r="S468" s="5"/>
      <c r="U468" s="5"/>
      <c r="W468" s="5"/>
      <c r="Y468" s="5"/>
    </row>
    <row r="469" spans="6:25" ht="15.75" customHeight="1" x14ac:dyDescent="0.3">
      <c r="F469" s="5"/>
      <c r="I469" s="6"/>
      <c r="K469" s="5"/>
      <c r="M469" s="5"/>
      <c r="O469" s="5"/>
      <c r="Q469" s="5"/>
      <c r="S469" s="5"/>
      <c r="U469" s="5"/>
      <c r="W469" s="5"/>
      <c r="Y469" s="5"/>
    </row>
    <row r="470" spans="6:25" ht="15.75" customHeight="1" x14ac:dyDescent="0.3">
      <c r="F470" s="5"/>
      <c r="I470" s="6"/>
      <c r="K470" s="5"/>
      <c r="M470" s="5"/>
      <c r="O470" s="5"/>
      <c r="Q470" s="5"/>
      <c r="S470" s="5"/>
      <c r="U470" s="5"/>
      <c r="W470" s="5"/>
      <c r="Y470" s="5"/>
    </row>
    <row r="471" spans="6:25" ht="15.75" customHeight="1" x14ac:dyDescent="0.3">
      <c r="F471" s="5"/>
      <c r="I471" s="6"/>
      <c r="K471" s="5"/>
      <c r="M471" s="5"/>
      <c r="O471" s="5"/>
      <c r="Q471" s="5"/>
      <c r="S471" s="5"/>
      <c r="U471" s="5"/>
      <c r="W471" s="5"/>
      <c r="Y471" s="5"/>
    </row>
    <row r="472" spans="6:25" ht="15.75" customHeight="1" x14ac:dyDescent="0.3">
      <c r="F472" s="5"/>
      <c r="I472" s="6"/>
      <c r="K472" s="5"/>
      <c r="M472" s="5"/>
      <c r="O472" s="5"/>
      <c r="Q472" s="5"/>
      <c r="S472" s="5"/>
      <c r="U472" s="5"/>
      <c r="W472" s="5"/>
      <c r="Y472" s="5"/>
    </row>
    <row r="473" spans="6:25" ht="15.75" customHeight="1" x14ac:dyDescent="0.3">
      <c r="F473" s="5"/>
      <c r="I473" s="6"/>
      <c r="K473" s="5"/>
      <c r="M473" s="5"/>
      <c r="O473" s="5"/>
      <c r="Q473" s="5"/>
      <c r="S473" s="5"/>
      <c r="U473" s="5"/>
      <c r="W473" s="5"/>
      <c r="Y473" s="5"/>
    </row>
    <row r="474" spans="6:25" ht="15.75" customHeight="1" x14ac:dyDescent="0.3">
      <c r="F474" s="5"/>
      <c r="I474" s="6"/>
      <c r="K474" s="5"/>
      <c r="M474" s="5"/>
      <c r="O474" s="5"/>
      <c r="Q474" s="5"/>
      <c r="S474" s="5"/>
      <c r="U474" s="5"/>
      <c r="W474" s="5"/>
      <c r="Y474" s="5"/>
    </row>
    <row r="475" spans="6:25" ht="15.75" customHeight="1" x14ac:dyDescent="0.3">
      <c r="F475" s="5"/>
      <c r="I475" s="6"/>
      <c r="K475" s="5"/>
      <c r="M475" s="5"/>
      <c r="O475" s="5"/>
      <c r="Q475" s="5"/>
      <c r="S475" s="5"/>
      <c r="U475" s="5"/>
      <c r="W475" s="5"/>
      <c r="Y475" s="5"/>
    </row>
    <row r="476" spans="6:25" ht="15.75" customHeight="1" x14ac:dyDescent="0.3">
      <c r="F476" s="5"/>
      <c r="I476" s="6"/>
      <c r="K476" s="5"/>
      <c r="M476" s="5"/>
      <c r="O476" s="5"/>
      <c r="Q476" s="5"/>
      <c r="S476" s="5"/>
      <c r="U476" s="5"/>
      <c r="W476" s="5"/>
      <c r="Y476" s="5"/>
    </row>
    <row r="477" spans="6:25" ht="15.75" customHeight="1" x14ac:dyDescent="0.3">
      <c r="F477" s="5"/>
      <c r="I477" s="6"/>
      <c r="K477" s="5"/>
      <c r="M477" s="5"/>
      <c r="O477" s="5"/>
      <c r="Q477" s="5"/>
      <c r="S477" s="5"/>
      <c r="U477" s="5"/>
      <c r="W477" s="5"/>
      <c r="Y477" s="5"/>
    </row>
    <row r="478" spans="6:25" ht="15.75" customHeight="1" x14ac:dyDescent="0.3">
      <c r="F478" s="5"/>
      <c r="I478" s="6"/>
      <c r="K478" s="5"/>
      <c r="M478" s="5"/>
      <c r="O478" s="5"/>
      <c r="Q478" s="5"/>
      <c r="S478" s="5"/>
      <c r="U478" s="5"/>
      <c r="W478" s="5"/>
      <c r="Y478" s="5"/>
    </row>
    <row r="479" spans="6:25" ht="15.75" customHeight="1" x14ac:dyDescent="0.3">
      <c r="F479" s="5"/>
      <c r="I479" s="6"/>
      <c r="K479" s="5"/>
      <c r="M479" s="5"/>
      <c r="O479" s="5"/>
      <c r="Q479" s="5"/>
      <c r="S479" s="5"/>
      <c r="U479" s="5"/>
      <c r="W479" s="5"/>
      <c r="Y479" s="5"/>
    </row>
    <row r="480" spans="6:25" ht="15.75" customHeight="1" x14ac:dyDescent="0.3">
      <c r="F480" s="5"/>
      <c r="I480" s="6"/>
      <c r="K480" s="5"/>
      <c r="M480" s="5"/>
      <c r="O480" s="5"/>
      <c r="Q480" s="5"/>
      <c r="S480" s="5"/>
      <c r="U480" s="5"/>
      <c r="W480" s="5"/>
      <c r="Y480" s="5"/>
    </row>
    <row r="481" spans="6:25" ht="15.75" customHeight="1" x14ac:dyDescent="0.3">
      <c r="F481" s="5"/>
      <c r="I481" s="6"/>
      <c r="K481" s="5"/>
      <c r="M481" s="5"/>
      <c r="O481" s="5"/>
      <c r="Q481" s="5"/>
      <c r="S481" s="5"/>
      <c r="U481" s="5"/>
      <c r="W481" s="5"/>
      <c r="Y481" s="5"/>
    </row>
    <row r="482" spans="6:25" ht="15.75" customHeight="1" x14ac:dyDescent="0.3">
      <c r="F482" s="5"/>
      <c r="I482" s="6"/>
      <c r="K482" s="5"/>
      <c r="M482" s="5"/>
      <c r="O482" s="5"/>
      <c r="Q482" s="5"/>
      <c r="S482" s="5"/>
      <c r="U482" s="5"/>
      <c r="W482" s="5"/>
      <c r="Y482" s="5"/>
    </row>
    <row r="483" spans="6:25" ht="15.75" customHeight="1" x14ac:dyDescent="0.3">
      <c r="F483" s="5"/>
      <c r="I483" s="6"/>
      <c r="K483" s="5"/>
      <c r="M483" s="5"/>
      <c r="O483" s="5"/>
      <c r="Q483" s="5"/>
      <c r="S483" s="5"/>
      <c r="U483" s="5"/>
      <c r="W483" s="5"/>
      <c r="Y483" s="5"/>
    </row>
    <row r="484" spans="6:25" ht="15.75" customHeight="1" x14ac:dyDescent="0.3">
      <c r="F484" s="5"/>
      <c r="I484" s="6"/>
      <c r="K484" s="5"/>
      <c r="M484" s="5"/>
      <c r="O484" s="5"/>
      <c r="Q484" s="5"/>
      <c r="S484" s="5"/>
      <c r="U484" s="5"/>
      <c r="W484" s="5"/>
      <c r="Y484" s="5"/>
    </row>
    <row r="485" spans="6:25" ht="15.75" customHeight="1" x14ac:dyDescent="0.3">
      <c r="F485" s="5"/>
      <c r="I485" s="6"/>
      <c r="K485" s="5"/>
      <c r="M485" s="5"/>
      <c r="O485" s="5"/>
      <c r="Q485" s="5"/>
      <c r="S485" s="5"/>
      <c r="U485" s="5"/>
      <c r="W485" s="5"/>
      <c r="Y485" s="5"/>
    </row>
    <row r="486" spans="6:25" ht="15.75" customHeight="1" x14ac:dyDescent="0.3">
      <c r="F486" s="5"/>
      <c r="I486" s="6"/>
      <c r="K486" s="5"/>
      <c r="M486" s="5"/>
      <c r="O486" s="5"/>
      <c r="Q486" s="5"/>
      <c r="S486" s="5"/>
      <c r="U486" s="5"/>
      <c r="W486" s="5"/>
      <c r="Y486" s="5"/>
    </row>
    <row r="487" spans="6:25" ht="15.75" customHeight="1" x14ac:dyDescent="0.3">
      <c r="F487" s="5"/>
      <c r="I487" s="6"/>
      <c r="K487" s="5"/>
      <c r="M487" s="5"/>
      <c r="O487" s="5"/>
      <c r="Q487" s="5"/>
      <c r="S487" s="5"/>
      <c r="U487" s="5"/>
      <c r="W487" s="5"/>
      <c r="Y487" s="5"/>
    </row>
    <row r="488" spans="6:25" ht="15.75" customHeight="1" x14ac:dyDescent="0.3">
      <c r="F488" s="5"/>
      <c r="I488" s="6"/>
      <c r="K488" s="5"/>
      <c r="M488" s="5"/>
      <c r="O488" s="5"/>
      <c r="Q488" s="5"/>
      <c r="S488" s="5"/>
      <c r="U488" s="5"/>
      <c r="W488" s="5"/>
      <c r="Y488" s="5"/>
    </row>
    <row r="489" spans="6:25" ht="15.75" customHeight="1" x14ac:dyDescent="0.3">
      <c r="F489" s="5"/>
      <c r="I489" s="6"/>
      <c r="K489" s="5"/>
      <c r="M489" s="5"/>
      <c r="O489" s="5"/>
      <c r="Q489" s="5"/>
      <c r="S489" s="5"/>
      <c r="U489" s="5"/>
      <c r="W489" s="5"/>
      <c r="Y489" s="5"/>
    </row>
    <row r="490" spans="6:25" ht="15.75" customHeight="1" x14ac:dyDescent="0.3">
      <c r="F490" s="5"/>
      <c r="I490" s="6"/>
      <c r="K490" s="5"/>
      <c r="M490" s="5"/>
      <c r="O490" s="5"/>
      <c r="Q490" s="5"/>
      <c r="S490" s="5"/>
      <c r="U490" s="5"/>
      <c r="W490" s="5"/>
      <c r="Y490" s="5"/>
    </row>
    <row r="491" spans="6:25" ht="15.75" customHeight="1" x14ac:dyDescent="0.3">
      <c r="F491" s="5"/>
      <c r="I491" s="6"/>
      <c r="K491" s="5"/>
      <c r="M491" s="5"/>
      <c r="O491" s="5"/>
      <c r="Q491" s="5"/>
      <c r="S491" s="5"/>
      <c r="U491" s="5"/>
      <c r="W491" s="5"/>
      <c r="Y491" s="5"/>
    </row>
    <row r="492" spans="6:25" ht="15.75" customHeight="1" x14ac:dyDescent="0.3">
      <c r="F492" s="5"/>
      <c r="I492" s="6"/>
      <c r="K492" s="5"/>
      <c r="M492" s="5"/>
      <c r="O492" s="5"/>
      <c r="Q492" s="5"/>
      <c r="S492" s="5"/>
      <c r="U492" s="5"/>
      <c r="W492" s="5"/>
      <c r="Y492" s="5"/>
    </row>
    <row r="493" spans="6:25" ht="15.75" customHeight="1" x14ac:dyDescent="0.3">
      <c r="F493" s="5"/>
      <c r="I493" s="6"/>
      <c r="K493" s="5"/>
      <c r="M493" s="5"/>
      <c r="O493" s="5"/>
      <c r="Q493" s="5"/>
      <c r="S493" s="5"/>
      <c r="U493" s="5"/>
      <c r="W493" s="5"/>
      <c r="Y493" s="5"/>
    </row>
    <row r="494" spans="6:25" ht="15.75" customHeight="1" x14ac:dyDescent="0.3">
      <c r="F494" s="5"/>
      <c r="I494" s="6"/>
      <c r="K494" s="5"/>
      <c r="M494" s="5"/>
      <c r="O494" s="5"/>
      <c r="Q494" s="5"/>
      <c r="S494" s="5"/>
      <c r="U494" s="5"/>
      <c r="W494" s="5"/>
      <c r="Y494" s="5"/>
    </row>
    <row r="495" spans="6:25" ht="15.75" customHeight="1" x14ac:dyDescent="0.3">
      <c r="F495" s="5"/>
      <c r="I495" s="6"/>
      <c r="K495" s="5"/>
      <c r="M495" s="5"/>
      <c r="O495" s="5"/>
      <c r="Q495" s="5"/>
      <c r="S495" s="5"/>
      <c r="U495" s="5"/>
      <c r="W495" s="5"/>
      <c r="Y495" s="5"/>
    </row>
    <row r="496" spans="6:25" ht="15.75" customHeight="1" x14ac:dyDescent="0.3">
      <c r="F496" s="5"/>
      <c r="I496" s="6"/>
      <c r="K496" s="5"/>
      <c r="M496" s="5"/>
      <c r="O496" s="5"/>
      <c r="Q496" s="5"/>
      <c r="S496" s="5"/>
      <c r="U496" s="5"/>
      <c r="W496" s="5"/>
      <c r="Y496" s="5"/>
    </row>
    <row r="497" spans="6:25" ht="15.75" customHeight="1" x14ac:dyDescent="0.3">
      <c r="F497" s="5"/>
      <c r="I497" s="6"/>
      <c r="K497" s="5"/>
      <c r="M497" s="5"/>
      <c r="O497" s="5"/>
      <c r="Q497" s="5"/>
      <c r="S497" s="5"/>
      <c r="U497" s="5"/>
      <c r="W497" s="5"/>
      <c r="Y497" s="5"/>
    </row>
    <row r="498" spans="6:25" ht="15.75" customHeight="1" x14ac:dyDescent="0.3">
      <c r="F498" s="5"/>
      <c r="I498" s="6"/>
      <c r="K498" s="5"/>
      <c r="M498" s="5"/>
      <c r="O498" s="5"/>
      <c r="Q498" s="5"/>
      <c r="S498" s="5"/>
      <c r="U498" s="5"/>
      <c r="W498" s="5"/>
      <c r="Y498" s="5"/>
    </row>
    <row r="499" spans="6:25" ht="15.75" customHeight="1" x14ac:dyDescent="0.3">
      <c r="F499" s="5"/>
      <c r="I499" s="6"/>
      <c r="K499" s="5"/>
      <c r="M499" s="5"/>
      <c r="O499" s="5"/>
      <c r="Q499" s="5"/>
      <c r="S499" s="5"/>
      <c r="U499" s="5"/>
      <c r="W499" s="5"/>
      <c r="Y499" s="5"/>
    </row>
    <row r="500" spans="6:25" ht="15.75" customHeight="1" x14ac:dyDescent="0.3">
      <c r="F500" s="5"/>
      <c r="I500" s="6"/>
      <c r="K500" s="5"/>
      <c r="M500" s="5"/>
      <c r="O500" s="5"/>
      <c r="Q500" s="5"/>
      <c r="S500" s="5"/>
      <c r="U500" s="5"/>
      <c r="W500" s="5"/>
      <c r="Y500" s="5"/>
    </row>
    <row r="501" spans="6:25" ht="15.75" customHeight="1" x14ac:dyDescent="0.3">
      <c r="F501" s="5"/>
      <c r="I501" s="6"/>
      <c r="K501" s="5"/>
      <c r="M501" s="5"/>
      <c r="O501" s="5"/>
      <c r="Q501" s="5"/>
      <c r="S501" s="5"/>
      <c r="U501" s="5"/>
      <c r="W501" s="5"/>
      <c r="Y501" s="5"/>
    </row>
    <row r="502" spans="6:25" ht="15.75" customHeight="1" x14ac:dyDescent="0.3">
      <c r="F502" s="5"/>
      <c r="I502" s="6"/>
      <c r="K502" s="5"/>
      <c r="M502" s="5"/>
      <c r="O502" s="5"/>
      <c r="Q502" s="5"/>
      <c r="S502" s="5"/>
      <c r="U502" s="5"/>
      <c r="W502" s="5"/>
      <c r="Y502" s="5"/>
    </row>
    <row r="503" spans="6:25" ht="15.75" customHeight="1" x14ac:dyDescent="0.3">
      <c r="F503" s="5"/>
      <c r="I503" s="6"/>
      <c r="K503" s="5"/>
      <c r="M503" s="5"/>
      <c r="O503" s="5"/>
      <c r="Q503" s="5"/>
      <c r="S503" s="5"/>
      <c r="U503" s="5"/>
      <c r="W503" s="5"/>
      <c r="Y503" s="5"/>
    </row>
    <row r="504" spans="6:25" ht="15.75" customHeight="1" x14ac:dyDescent="0.3">
      <c r="F504" s="5"/>
      <c r="I504" s="6"/>
      <c r="K504" s="5"/>
      <c r="M504" s="5"/>
      <c r="O504" s="5"/>
      <c r="Q504" s="5"/>
      <c r="S504" s="5"/>
      <c r="U504" s="5"/>
      <c r="W504" s="5"/>
      <c r="Y504" s="5"/>
    </row>
    <row r="505" spans="6:25" ht="15.75" customHeight="1" x14ac:dyDescent="0.3">
      <c r="F505" s="5"/>
      <c r="I505" s="6"/>
      <c r="K505" s="5"/>
      <c r="M505" s="5"/>
      <c r="O505" s="5"/>
      <c r="Q505" s="5"/>
      <c r="S505" s="5"/>
      <c r="U505" s="5"/>
      <c r="W505" s="5"/>
      <c r="Y505" s="5"/>
    </row>
    <row r="506" spans="6:25" ht="15.75" customHeight="1" x14ac:dyDescent="0.3">
      <c r="F506" s="5"/>
      <c r="I506" s="6"/>
      <c r="K506" s="5"/>
      <c r="M506" s="5"/>
      <c r="O506" s="5"/>
      <c r="Q506" s="5"/>
      <c r="S506" s="5"/>
      <c r="U506" s="5"/>
      <c r="W506" s="5"/>
      <c r="Y506" s="5"/>
    </row>
    <row r="507" spans="6:25" ht="15.75" customHeight="1" x14ac:dyDescent="0.3">
      <c r="F507" s="5"/>
      <c r="I507" s="6"/>
      <c r="K507" s="5"/>
      <c r="M507" s="5"/>
      <c r="O507" s="5"/>
      <c r="Q507" s="5"/>
      <c r="S507" s="5"/>
      <c r="U507" s="5"/>
      <c r="W507" s="5"/>
      <c r="Y507" s="5"/>
    </row>
    <row r="508" spans="6:25" ht="15.75" customHeight="1" x14ac:dyDescent="0.3">
      <c r="F508" s="5"/>
      <c r="I508" s="6"/>
      <c r="K508" s="5"/>
      <c r="M508" s="5"/>
      <c r="O508" s="5"/>
      <c r="Q508" s="5"/>
      <c r="S508" s="5"/>
      <c r="U508" s="5"/>
      <c r="W508" s="5"/>
      <c r="Y508" s="5"/>
    </row>
    <row r="509" spans="6:25" ht="15.75" customHeight="1" x14ac:dyDescent="0.3">
      <c r="F509" s="5"/>
      <c r="I509" s="6"/>
      <c r="K509" s="5"/>
      <c r="M509" s="5"/>
      <c r="O509" s="5"/>
      <c r="Q509" s="5"/>
      <c r="S509" s="5"/>
      <c r="U509" s="5"/>
      <c r="W509" s="5"/>
      <c r="Y509" s="5"/>
    </row>
    <row r="510" spans="6:25" ht="15.75" customHeight="1" x14ac:dyDescent="0.3">
      <c r="F510" s="5"/>
      <c r="I510" s="6"/>
      <c r="K510" s="5"/>
      <c r="M510" s="5"/>
      <c r="O510" s="5"/>
      <c r="Q510" s="5"/>
      <c r="S510" s="5"/>
      <c r="U510" s="5"/>
      <c r="W510" s="5"/>
      <c r="Y510" s="5"/>
    </row>
    <row r="511" spans="6:25" ht="15.75" customHeight="1" x14ac:dyDescent="0.3">
      <c r="F511" s="5"/>
      <c r="I511" s="6"/>
      <c r="K511" s="5"/>
      <c r="M511" s="5"/>
      <c r="O511" s="5"/>
      <c r="Q511" s="5"/>
      <c r="S511" s="5"/>
      <c r="U511" s="5"/>
      <c r="W511" s="5"/>
      <c r="Y511" s="5"/>
    </row>
    <row r="512" spans="6:25" ht="15.75" customHeight="1" x14ac:dyDescent="0.3">
      <c r="F512" s="5"/>
      <c r="I512" s="6"/>
      <c r="K512" s="5"/>
      <c r="M512" s="5"/>
      <c r="O512" s="5"/>
      <c r="Q512" s="5"/>
      <c r="S512" s="5"/>
      <c r="U512" s="5"/>
      <c r="W512" s="5"/>
      <c r="Y512" s="5"/>
    </row>
    <row r="513" spans="6:25" ht="15.75" customHeight="1" x14ac:dyDescent="0.3">
      <c r="F513" s="5"/>
      <c r="I513" s="6"/>
      <c r="K513" s="5"/>
      <c r="M513" s="5"/>
      <c r="O513" s="5"/>
      <c r="Q513" s="5"/>
      <c r="S513" s="5"/>
      <c r="U513" s="5"/>
      <c r="W513" s="5"/>
      <c r="Y513" s="5"/>
    </row>
    <row r="514" spans="6:25" ht="15.75" customHeight="1" x14ac:dyDescent="0.3">
      <c r="F514" s="5"/>
      <c r="I514" s="6"/>
      <c r="K514" s="5"/>
      <c r="M514" s="5"/>
      <c r="O514" s="5"/>
      <c r="Q514" s="5"/>
      <c r="S514" s="5"/>
      <c r="U514" s="5"/>
      <c r="W514" s="5"/>
      <c r="Y514" s="5"/>
    </row>
    <row r="515" spans="6:25" ht="15.75" customHeight="1" x14ac:dyDescent="0.3">
      <c r="F515" s="5"/>
      <c r="I515" s="6"/>
      <c r="K515" s="5"/>
      <c r="M515" s="5"/>
      <c r="O515" s="5"/>
      <c r="Q515" s="5"/>
      <c r="S515" s="5"/>
      <c r="U515" s="5"/>
      <c r="W515" s="5"/>
      <c r="Y515" s="5"/>
    </row>
    <row r="516" spans="6:25" ht="15.75" customHeight="1" x14ac:dyDescent="0.3">
      <c r="F516" s="5"/>
      <c r="I516" s="6"/>
      <c r="K516" s="5"/>
      <c r="M516" s="5"/>
      <c r="O516" s="5"/>
      <c r="Q516" s="5"/>
      <c r="S516" s="5"/>
      <c r="U516" s="5"/>
      <c r="W516" s="5"/>
      <c r="Y516" s="5"/>
    </row>
    <row r="517" spans="6:25" ht="15.75" customHeight="1" x14ac:dyDescent="0.3">
      <c r="F517" s="5"/>
      <c r="I517" s="6"/>
      <c r="K517" s="5"/>
      <c r="M517" s="5"/>
      <c r="O517" s="5"/>
      <c r="Q517" s="5"/>
      <c r="S517" s="5"/>
      <c r="U517" s="5"/>
      <c r="W517" s="5"/>
      <c r="Y517" s="5"/>
    </row>
    <row r="518" spans="6:25" ht="15.75" customHeight="1" x14ac:dyDescent="0.3">
      <c r="F518" s="5"/>
      <c r="I518" s="6"/>
      <c r="K518" s="5"/>
      <c r="M518" s="5"/>
      <c r="O518" s="5"/>
      <c r="Q518" s="5"/>
      <c r="S518" s="5"/>
      <c r="U518" s="5"/>
      <c r="W518" s="5"/>
      <c r="Y518" s="5"/>
    </row>
    <row r="519" spans="6:25" ht="15.75" customHeight="1" x14ac:dyDescent="0.3">
      <c r="F519" s="5"/>
      <c r="I519" s="6"/>
      <c r="K519" s="5"/>
      <c r="M519" s="5"/>
      <c r="O519" s="5"/>
      <c r="Q519" s="5"/>
      <c r="S519" s="5"/>
      <c r="U519" s="5"/>
      <c r="W519" s="5"/>
      <c r="Y519" s="5"/>
    </row>
    <row r="520" spans="6:25" ht="15.75" customHeight="1" x14ac:dyDescent="0.3">
      <c r="F520" s="5"/>
      <c r="I520" s="6"/>
      <c r="K520" s="5"/>
      <c r="M520" s="5"/>
      <c r="O520" s="5"/>
      <c r="Q520" s="5"/>
      <c r="S520" s="5"/>
      <c r="U520" s="5"/>
      <c r="W520" s="5"/>
      <c r="Y520" s="5"/>
    </row>
    <row r="521" spans="6:25" ht="15.75" customHeight="1" x14ac:dyDescent="0.3">
      <c r="F521" s="5"/>
      <c r="I521" s="6"/>
      <c r="K521" s="5"/>
      <c r="M521" s="5"/>
      <c r="O521" s="5"/>
      <c r="Q521" s="5"/>
      <c r="S521" s="5"/>
      <c r="U521" s="5"/>
      <c r="W521" s="5"/>
      <c r="Y521" s="5"/>
    </row>
    <row r="522" spans="6:25" ht="15.75" customHeight="1" x14ac:dyDescent="0.3">
      <c r="F522" s="5"/>
      <c r="I522" s="6"/>
      <c r="K522" s="5"/>
      <c r="M522" s="5"/>
      <c r="O522" s="5"/>
      <c r="Q522" s="5"/>
      <c r="S522" s="5"/>
      <c r="U522" s="5"/>
      <c r="W522" s="5"/>
      <c r="Y522" s="5"/>
    </row>
    <row r="523" spans="6:25" ht="15.75" customHeight="1" x14ac:dyDescent="0.3">
      <c r="F523" s="5"/>
      <c r="I523" s="6"/>
      <c r="K523" s="5"/>
      <c r="M523" s="5"/>
      <c r="O523" s="5"/>
      <c r="Q523" s="5"/>
      <c r="S523" s="5"/>
      <c r="U523" s="5"/>
      <c r="W523" s="5"/>
      <c r="Y523" s="5"/>
    </row>
    <row r="524" spans="6:25" ht="15.75" customHeight="1" x14ac:dyDescent="0.3">
      <c r="F524" s="5"/>
      <c r="I524" s="6"/>
      <c r="K524" s="5"/>
      <c r="M524" s="5"/>
      <c r="O524" s="5"/>
      <c r="Q524" s="5"/>
      <c r="S524" s="5"/>
      <c r="U524" s="5"/>
      <c r="W524" s="5"/>
      <c r="Y524" s="5"/>
    </row>
    <row r="525" spans="6:25" ht="15.75" customHeight="1" x14ac:dyDescent="0.3">
      <c r="F525" s="5"/>
      <c r="I525" s="6"/>
      <c r="K525" s="5"/>
      <c r="M525" s="5"/>
      <c r="O525" s="5"/>
      <c r="Q525" s="5"/>
      <c r="S525" s="5"/>
      <c r="U525" s="5"/>
      <c r="W525" s="5"/>
      <c r="Y525" s="5"/>
    </row>
    <row r="526" spans="6:25" ht="15.75" customHeight="1" x14ac:dyDescent="0.3">
      <c r="F526" s="5"/>
      <c r="I526" s="6"/>
      <c r="K526" s="5"/>
      <c r="M526" s="5"/>
      <c r="O526" s="5"/>
      <c r="Q526" s="5"/>
      <c r="S526" s="5"/>
      <c r="U526" s="5"/>
      <c r="W526" s="5"/>
      <c r="Y526" s="5"/>
    </row>
    <row r="527" spans="6:25" ht="15.75" customHeight="1" x14ac:dyDescent="0.3">
      <c r="F527" s="5"/>
      <c r="I527" s="6"/>
      <c r="K527" s="5"/>
      <c r="M527" s="5"/>
      <c r="O527" s="5"/>
      <c r="Q527" s="5"/>
      <c r="S527" s="5"/>
      <c r="U527" s="5"/>
      <c r="W527" s="5"/>
      <c r="Y527" s="5"/>
    </row>
    <row r="528" spans="6:25" ht="15.75" customHeight="1" x14ac:dyDescent="0.3">
      <c r="F528" s="5"/>
      <c r="I528" s="6"/>
      <c r="K528" s="5"/>
      <c r="M528" s="5"/>
      <c r="O528" s="5"/>
      <c r="Q528" s="5"/>
      <c r="S528" s="5"/>
      <c r="U528" s="5"/>
      <c r="W528" s="5"/>
      <c r="Y528" s="5"/>
    </row>
    <row r="529" spans="6:25" ht="15.75" customHeight="1" x14ac:dyDescent="0.3">
      <c r="F529" s="5"/>
      <c r="I529" s="6"/>
      <c r="K529" s="5"/>
      <c r="M529" s="5"/>
      <c r="O529" s="5"/>
      <c r="Q529" s="5"/>
      <c r="S529" s="5"/>
      <c r="U529" s="5"/>
      <c r="W529" s="5"/>
      <c r="Y529" s="5"/>
    </row>
    <row r="530" spans="6:25" ht="15.75" customHeight="1" x14ac:dyDescent="0.3">
      <c r="F530" s="5"/>
      <c r="I530" s="6"/>
      <c r="K530" s="5"/>
      <c r="M530" s="5"/>
      <c r="O530" s="5"/>
      <c r="Q530" s="5"/>
      <c r="S530" s="5"/>
      <c r="U530" s="5"/>
      <c r="W530" s="5"/>
      <c r="Y530" s="5"/>
    </row>
    <row r="531" spans="6:25" ht="15.75" customHeight="1" x14ac:dyDescent="0.3">
      <c r="F531" s="5"/>
      <c r="I531" s="6"/>
      <c r="K531" s="5"/>
      <c r="M531" s="5"/>
      <c r="O531" s="5"/>
      <c r="Q531" s="5"/>
      <c r="S531" s="5"/>
      <c r="U531" s="5"/>
      <c r="W531" s="5"/>
      <c r="Y531" s="5"/>
    </row>
    <row r="532" spans="6:25" ht="15.75" customHeight="1" x14ac:dyDescent="0.3">
      <c r="F532" s="5"/>
      <c r="I532" s="6"/>
      <c r="K532" s="5"/>
      <c r="M532" s="5"/>
      <c r="O532" s="5"/>
      <c r="Q532" s="5"/>
      <c r="S532" s="5"/>
      <c r="U532" s="5"/>
      <c r="W532" s="5"/>
      <c r="Y532" s="5"/>
    </row>
    <row r="533" spans="6:25" ht="15.75" customHeight="1" x14ac:dyDescent="0.3">
      <c r="F533" s="5"/>
      <c r="I533" s="6"/>
      <c r="K533" s="5"/>
      <c r="M533" s="5"/>
      <c r="O533" s="5"/>
      <c r="Q533" s="5"/>
      <c r="S533" s="5"/>
      <c r="U533" s="5"/>
      <c r="W533" s="5"/>
      <c r="Y533" s="5"/>
    </row>
    <row r="534" spans="6:25" ht="15.75" customHeight="1" x14ac:dyDescent="0.3">
      <c r="F534" s="5"/>
      <c r="I534" s="6"/>
      <c r="K534" s="5"/>
      <c r="M534" s="5"/>
      <c r="O534" s="5"/>
      <c r="Q534" s="5"/>
      <c r="S534" s="5"/>
      <c r="U534" s="5"/>
      <c r="W534" s="5"/>
      <c r="Y534" s="5"/>
    </row>
    <row r="535" spans="6:25" ht="15.75" customHeight="1" x14ac:dyDescent="0.3">
      <c r="F535" s="5"/>
      <c r="I535" s="6"/>
      <c r="K535" s="5"/>
      <c r="M535" s="5"/>
      <c r="O535" s="5"/>
      <c r="Q535" s="5"/>
      <c r="S535" s="5"/>
      <c r="U535" s="5"/>
      <c r="W535" s="5"/>
      <c r="Y535" s="5"/>
    </row>
    <row r="536" spans="6:25" ht="15.75" customHeight="1" x14ac:dyDescent="0.3">
      <c r="F536" s="5"/>
      <c r="I536" s="6"/>
      <c r="K536" s="5"/>
      <c r="M536" s="5"/>
      <c r="O536" s="5"/>
      <c r="Q536" s="5"/>
      <c r="S536" s="5"/>
      <c r="U536" s="5"/>
      <c r="W536" s="5"/>
      <c r="Y536" s="5"/>
    </row>
    <row r="537" spans="6:25" ht="15.75" customHeight="1" x14ac:dyDescent="0.3">
      <c r="F537" s="5"/>
      <c r="I537" s="6"/>
      <c r="K537" s="5"/>
      <c r="M537" s="5"/>
      <c r="O537" s="5"/>
      <c r="Q537" s="5"/>
      <c r="S537" s="5"/>
      <c r="U537" s="5"/>
      <c r="W537" s="5"/>
      <c r="Y537" s="5"/>
    </row>
    <row r="538" spans="6:25" ht="15.75" customHeight="1" x14ac:dyDescent="0.3">
      <c r="F538" s="5"/>
      <c r="I538" s="6"/>
      <c r="K538" s="5"/>
      <c r="M538" s="5"/>
      <c r="O538" s="5"/>
      <c r="Q538" s="5"/>
      <c r="S538" s="5"/>
      <c r="U538" s="5"/>
      <c r="W538" s="5"/>
      <c r="Y538" s="5"/>
    </row>
    <row r="539" spans="6:25" ht="15.75" customHeight="1" x14ac:dyDescent="0.3">
      <c r="F539" s="5"/>
      <c r="I539" s="6"/>
      <c r="K539" s="5"/>
      <c r="M539" s="5"/>
      <c r="O539" s="5"/>
      <c r="Q539" s="5"/>
      <c r="S539" s="5"/>
      <c r="U539" s="5"/>
      <c r="W539" s="5"/>
      <c r="Y539" s="5"/>
    </row>
    <row r="540" spans="6:25" ht="15.75" customHeight="1" x14ac:dyDescent="0.3">
      <c r="F540" s="5"/>
      <c r="I540" s="6"/>
      <c r="K540" s="5"/>
      <c r="M540" s="5"/>
      <c r="O540" s="5"/>
      <c r="Q540" s="5"/>
      <c r="S540" s="5"/>
      <c r="U540" s="5"/>
      <c r="W540" s="5"/>
      <c r="Y540" s="5"/>
    </row>
    <row r="541" spans="6:25" ht="15.75" customHeight="1" x14ac:dyDescent="0.3">
      <c r="F541" s="5"/>
      <c r="I541" s="6"/>
      <c r="K541" s="5"/>
      <c r="M541" s="5"/>
      <c r="O541" s="5"/>
      <c r="Q541" s="5"/>
      <c r="S541" s="5"/>
      <c r="U541" s="5"/>
      <c r="W541" s="5"/>
      <c r="Y541" s="5"/>
    </row>
    <row r="542" spans="6:25" ht="15.75" customHeight="1" x14ac:dyDescent="0.3">
      <c r="F542" s="5"/>
      <c r="I542" s="6"/>
      <c r="K542" s="5"/>
      <c r="M542" s="5"/>
      <c r="O542" s="5"/>
      <c r="Q542" s="5"/>
      <c r="S542" s="5"/>
      <c r="U542" s="5"/>
      <c r="W542" s="5"/>
      <c r="Y542" s="5"/>
    </row>
    <row r="543" spans="6:25" ht="15.75" customHeight="1" x14ac:dyDescent="0.3">
      <c r="F543" s="5"/>
      <c r="I543" s="6"/>
      <c r="K543" s="5"/>
      <c r="M543" s="5"/>
      <c r="O543" s="5"/>
      <c r="Q543" s="5"/>
      <c r="S543" s="5"/>
      <c r="U543" s="5"/>
      <c r="W543" s="5"/>
      <c r="Y543" s="5"/>
    </row>
    <row r="544" spans="6:25" ht="15.75" customHeight="1" x14ac:dyDescent="0.3">
      <c r="F544" s="5"/>
      <c r="I544" s="6"/>
      <c r="K544" s="5"/>
      <c r="M544" s="5"/>
      <c r="O544" s="5"/>
      <c r="Q544" s="5"/>
      <c r="S544" s="5"/>
      <c r="U544" s="5"/>
      <c r="W544" s="5"/>
      <c r="Y544" s="5"/>
    </row>
    <row r="545" spans="6:25" ht="15.75" customHeight="1" x14ac:dyDescent="0.3">
      <c r="F545" s="5"/>
      <c r="I545" s="6"/>
      <c r="K545" s="5"/>
      <c r="M545" s="5"/>
      <c r="O545" s="5"/>
      <c r="Q545" s="5"/>
      <c r="S545" s="5"/>
      <c r="U545" s="5"/>
      <c r="W545" s="5"/>
      <c r="Y545" s="5"/>
    </row>
    <row r="546" spans="6:25" ht="15.75" customHeight="1" x14ac:dyDescent="0.3">
      <c r="F546" s="5"/>
      <c r="I546" s="6"/>
      <c r="K546" s="5"/>
      <c r="M546" s="5"/>
      <c r="O546" s="5"/>
      <c r="Q546" s="5"/>
      <c r="S546" s="5"/>
      <c r="U546" s="5"/>
      <c r="W546" s="5"/>
      <c r="Y546" s="5"/>
    </row>
    <row r="547" spans="6:25" ht="15.75" customHeight="1" x14ac:dyDescent="0.3">
      <c r="F547" s="5"/>
      <c r="I547" s="6"/>
      <c r="K547" s="5"/>
      <c r="M547" s="5"/>
      <c r="O547" s="5"/>
      <c r="Q547" s="5"/>
      <c r="S547" s="5"/>
      <c r="U547" s="5"/>
      <c r="W547" s="5"/>
      <c r="Y547" s="5"/>
    </row>
    <row r="548" spans="6:25" ht="15.75" customHeight="1" x14ac:dyDescent="0.3">
      <c r="F548" s="5"/>
      <c r="I548" s="6"/>
      <c r="K548" s="5"/>
      <c r="M548" s="5"/>
      <c r="O548" s="5"/>
      <c r="Q548" s="5"/>
      <c r="S548" s="5"/>
      <c r="U548" s="5"/>
      <c r="W548" s="5"/>
      <c r="Y548" s="5"/>
    </row>
    <row r="549" spans="6:25" ht="15.75" customHeight="1" x14ac:dyDescent="0.3">
      <c r="F549" s="5"/>
      <c r="I549" s="6"/>
      <c r="K549" s="5"/>
      <c r="M549" s="5"/>
      <c r="O549" s="5"/>
      <c r="Q549" s="5"/>
      <c r="S549" s="5"/>
      <c r="U549" s="5"/>
      <c r="W549" s="5"/>
      <c r="Y549" s="5"/>
    </row>
    <row r="550" spans="6:25" ht="15.75" customHeight="1" x14ac:dyDescent="0.3">
      <c r="F550" s="5"/>
      <c r="I550" s="6"/>
      <c r="K550" s="5"/>
      <c r="M550" s="5"/>
      <c r="O550" s="5"/>
      <c r="Q550" s="5"/>
      <c r="S550" s="5"/>
      <c r="U550" s="5"/>
      <c r="W550" s="5"/>
      <c r="Y550" s="5"/>
    </row>
    <row r="551" spans="6:25" ht="15.75" customHeight="1" x14ac:dyDescent="0.3">
      <c r="F551" s="5"/>
      <c r="I551" s="6"/>
      <c r="K551" s="5"/>
      <c r="M551" s="5"/>
      <c r="O551" s="5"/>
      <c r="Q551" s="5"/>
      <c r="S551" s="5"/>
      <c r="U551" s="5"/>
      <c r="W551" s="5"/>
      <c r="Y551" s="5"/>
    </row>
    <row r="552" spans="6:25" ht="15.75" customHeight="1" x14ac:dyDescent="0.3">
      <c r="F552" s="5"/>
      <c r="I552" s="6"/>
      <c r="K552" s="5"/>
      <c r="M552" s="5"/>
      <c r="O552" s="5"/>
      <c r="Q552" s="5"/>
      <c r="S552" s="5"/>
      <c r="U552" s="5"/>
      <c r="W552" s="5"/>
      <c r="Y552" s="5"/>
    </row>
    <row r="553" spans="6:25" ht="15.75" customHeight="1" x14ac:dyDescent="0.3">
      <c r="F553" s="5"/>
      <c r="I553" s="6"/>
      <c r="K553" s="5"/>
      <c r="M553" s="5"/>
      <c r="O553" s="5"/>
      <c r="Q553" s="5"/>
      <c r="S553" s="5"/>
      <c r="U553" s="5"/>
      <c r="W553" s="5"/>
      <c r="Y553" s="5"/>
    </row>
    <row r="554" spans="6:25" ht="15.75" customHeight="1" x14ac:dyDescent="0.3">
      <c r="F554" s="5"/>
      <c r="I554" s="6"/>
      <c r="K554" s="5"/>
      <c r="M554" s="5"/>
      <c r="O554" s="5"/>
      <c r="Q554" s="5"/>
      <c r="S554" s="5"/>
      <c r="U554" s="5"/>
      <c r="W554" s="5"/>
      <c r="Y554" s="5"/>
    </row>
    <row r="555" spans="6:25" ht="15.75" customHeight="1" x14ac:dyDescent="0.3">
      <c r="F555" s="5"/>
      <c r="I555" s="6"/>
      <c r="K555" s="5"/>
      <c r="M555" s="5"/>
      <c r="O555" s="5"/>
      <c r="Q555" s="5"/>
      <c r="S555" s="5"/>
      <c r="U555" s="5"/>
      <c r="W555" s="5"/>
      <c r="Y555" s="5"/>
    </row>
    <row r="556" spans="6:25" ht="15.75" customHeight="1" x14ac:dyDescent="0.3">
      <c r="F556" s="5"/>
      <c r="I556" s="6"/>
      <c r="K556" s="5"/>
      <c r="M556" s="5"/>
      <c r="O556" s="5"/>
      <c r="Q556" s="5"/>
      <c r="S556" s="5"/>
      <c r="U556" s="5"/>
      <c r="W556" s="5"/>
      <c r="Y556" s="5"/>
    </row>
    <row r="557" spans="6:25" ht="15.75" customHeight="1" x14ac:dyDescent="0.3">
      <c r="F557" s="5"/>
      <c r="I557" s="6"/>
      <c r="K557" s="5"/>
      <c r="M557" s="5"/>
      <c r="O557" s="5"/>
      <c r="Q557" s="5"/>
      <c r="S557" s="5"/>
      <c r="U557" s="5"/>
      <c r="W557" s="5"/>
      <c r="Y557" s="5"/>
    </row>
    <row r="558" spans="6:25" ht="15.75" customHeight="1" x14ac:dyDescent="0.3">
      <c r="F558" s="5"/>
      <c r="I558" s="6"/>
      <c r="K558" s="5"/>
      <c r="M558" s="5"/>
      <c r="O558" s="5"/>
      <c r="Q558" s="5"/>
      <c r="S558" s="5"/>
      <c r="U558" s="5"/>
      <c r="W558" s="5"/>
      <c r="Y558" s="5"/>
    </row>
    <row r="559" spans="6:25" ht="15.75" customHeight="1" x14ac:dyDescent="0.3">
      <c r="F559" s="5"/>
      <c r="I559" s="6"/>
      <c r="K559" s="5"/>
      <c r="M559" s="5"/>
      <c r="O559" s="5"/>
      <c r="Q559" s="5"/>
      <c r="S559" s="5"/>
      <c r="U559" s="5"/>
      <c r="W559" s="5"/>
      <c r="Y559" s="5"/>
    </row>
    <row r="560" spans="6:25" ht="15.75" customHeight="1" x14ac:dyDescent="0.3">
      <c r="F560" s="5"/>
      <c r="I560" s="6"/>
      <c r="K560" s="5"/>
      <c r="M560" s="5"/>
      <c r="O560" s="5"/>
      <c r="Q560" s="5"/>
      <c r="S560" s="5"/>
      <c r="U560" s="5"/>
      <c r="W560" s="5"/>
      <c r="Y560" s="5"/>
    </row>
    <row r="561" spans="6:25" ht="15.75" customHeight="1" x14ac:dyDescent="0.3">
      <c r="F561" s="5"/>
      <c r="I561" s="6"/>
      <c r="K561" s="5"/>
      <c r="M561" s="5"/>
      <c r="O561" s="5"/>
      <c r="Q561" s="5"/>
      <c r="S561" s="5"/>
      <c r="U561" s="5"/>
      <c r="W561" s="5"/>
      <c r="Y561" s="5"/>
    </row>
    <row r="562" spans="6:25" ht="15.75" customHeight="1" x14ac:dyDescent="0.3">
      <c r="F562" s="5"/>
      <c r="I562" s="6"/>
      <c r="K562" s="5"/>
      <c r="M562" s="5"/>
      <c r="O562" s="5"/>
      <c r="Q562" s="5"/>
      <c r="S562" s="5"/>
      <c r="U562" s="5"/>
      <c r="W562" s="5"/>
      <c r="Y562" s="5"/>
    </row>
    <row r="563" spans="6:25" ht="15.75" customHeight="1" x14ac:dyDescent="0.3">
      <c r="F563" s="5"/>
      <c r="I563" s="6"/>
      <c r="K563" s="5"/>
      <c r="M563" s="5"/>
      <c r="O563" s="5"/>
      <c r="Q563" s="5"/>
      <c r="S563" s="5"/>
      <c r="U563" s="5"/>
      <c r="W563" s="5"/>
      <c r="Y563" s="5"/>
    </row>
    <row r="564" spans="6:25" ht="15.75" customHeight="1" x14ac:dyDescent="0.3">
      <c r="F564" s="5"/>
      <c r="I564" s="6"/>
      <c r="K564" s="5"/>
      <c r="M564" s="5"/>
      <c r="O564" s="5"/>
      <c r="Q564" s="5"/>
      <c r="S564" s="5"/>
      <c r="U564" s="5"/>
      <c r="W564" s="5"/>
      <c r="Y564" s="5"/>
    </row>
    <row r="565" spans="6:25" ht="15.75" customHeight="1" x14ac:dyDescent="0.3">
      <c r="F565" s="5"/>
      <c r="I565" s="6"/>
      <c r="K565" s="5"/>
      <c r="M565" s="5"/>
      <c r="O565" s="5"/>
      <c r="Q565" s="5"/>
      <c r="S565" s="5"/>
      <c r="U565" s="5"/>
      <c r="W565" s="5"/>
      <c r="Y565" s="5"/>
    </row>
    <row r="566" spans="6:25" ht="15.75" customHeight="1" x14ac:dyDescent="0.3">
      <c r="F566" s="5"/>
      <c r="I566" s="6"/>
      <c r="K566" s="5"/>
      <c r="M566" s="5"/>
      <c r="O566" s="5"/>
      <c r="Q566" s="5"/>
      <c r="S566" s="5"/>
      <c r="U566" s="5"/>
      <c r="W566" s="5"/>
      <c r="Y566" s="5"/>
    </row>
    <row r="567" spans="6:25" ht="15.75" customHeight="1" x14ac:dyDescent="0.3">
      <c r="F567" s="5"/>
      <c r="I567" s="6"/>
      <c r="K567" s="5"/>
      <c r="M567" s="5"/>
      <c r="O567" s="5"/>
      <c r="Q567" s="5"/>
      <c r="S567" s="5"/>
      <c r="U567" s="5"/>
      <c r="W567" s="5"/>
      <c r="Y567" s="5"/>
    </row>
    <row r="568" spans="6:25" ht="15.75" customHeight="1" x14ac:dyDescent="0.3">
      <c r="F568" s="5"/>
      <c r="I568" s="6"/>
      <c r="K568" s="5"/>
      <c r="M568" s="5"/>
      <c r="O568" s="5"/>
      <c r="Q568" s="5"/>
      <c r="S568" s="5"/>
      <c r="U568" s="5"/>
      <c r="W568" s="5"/>
      <c r="Y568" s="5"/>
    </row>
    <row r="569" spans="6:25" ht="15.75" customHeight="1" x14ac:dyDescent="0.3">
      <c r="F569" s="5"/>
      <c r="I569" s="6"/>
      <c r="K569" s="5"/>
      <c r="M569" s="5"/>
      <c r="O569" s="5"/>
      <c r="Q569" s="5"/>
      <c r="S569" s="5"/>
      <c r="U569" s="5"/>
      <c r="W569" s="5"/>
      <c r="Y569" s="5"/>
    </row>
    <row r="570" spans="6:25" ht="15.75" customHeight="1" x14ac:dyDescent="0.3">
      <c r="F570" s="5"/>
      <c r="I570" s="6"/>
      <c r="K570" s="5"/>
      <c r="M570" s="5"/>
      <c r="O570" s="5"/>
      <c r="Q570" s="5"/>
      <c r="S570" s="5"/>
      <c r="U570" s="5"/>
      <c r="W570" s="5"/>
      <c r="Y570" s="5"/>
    </row>
    <row r="571" spans="6:25" ht="15.75" customHeight="1" x14ac:dyDescent="0.3">
      <c r="F571" s="5"/>
      <c r="I571" s="6"/>
      <c r="K571" s="5"/>
      <c r="M571" s="5"/>
      <c r="O571" s="5"/>
      <c r="Q571" s="5"/>
      <c r="S571" s="5"/>
      <c r="U571" s="5"/>
      <c r="W571" s="5"/>
      <c r="Y571" s="5"/>
    </row>
    <row r="572" spans="6:25" ht="15.75" customHeight="1" x14ac:dyDescent="0.3">
      <c r="F572" s="5"/>
      <c r="I572" s="6"/>
      <c r="K572" s="5"/>
      <c r="M572" s="5"/>
      <c r="O572" s="5"/>
      <c r="Q572" s="5"/>
      <c r="S572" s="5"/>
      <c r="U572" s="5"/>
      <c r="W572" s="5"/>
      <c r="Y572" s="5"/>
    </row>
    <row r="573" spans="6:25" ht="15.75" customHeight="1" x14ac:dyDescent="0.3">
      <c r="F573" s="5"/>
      <c r="I573" s="6"/>
      <c r="K573" s="5"/>
      <c r="M573" s="5"/>
      <c r="O573" s="5"/>
      <c r="Q573" s="5"/>
      <c r="S573" s="5"/>
      <c r="U573" s="5"/>
      <c r="W573" s="5"/>
      <c r="Y573" s="5"/>
    </row>
    <row r="574" spans="6:25" ht="15.75" customHeight="1" x14ac:dyDescent="0.3">
      <c r="F574" s="5"/>
      <c r="I574" s="6"/>
      <c r="K574" s="5"/>
      <c r="M574" s="5"/>
      <c r="O574" s="5"/>
      <c r="Q574" s="5"/>
      <c r="S574" s="5"/>
      <c r="U574" s="5"/>
      <c r="W574" s="5"/>
      <c r="Y574" s="5"/>
    </row>
    <row r="575" spans="6:25" ht="15.75" customHeight="1" x14ac:dyDescent="0.3">
      <c r="F575" s="5"/>
      <c r="I575" s="6"/>
      <c r="K575" s="5"/>
      <c r="M575" s="5"/>
      <c r="O575" s="5"/>
      <c r="Q575" s="5"/>
      <c r="S575" s="5"/>
      <c r="U575" s="5"/>
      <c r="W575" s="5"/>
      <c r="Y575" s="5"/>
    </row>
    <row r="576" spans="6:25" ht="15.75" customHeight="1" x14ac:dyDescent="0.3">
      <c r="F576" s="5"/>
      <c r="I576" s="6"/>
      <c r="K576" s="5"/>
      <c r="M576" s="5"/>
      <c r="O576" s="5"/>
      <c r="Q576" s="5"/>
      <c r="S576" s="5"/>
      <c r="U576" s="5"/>
      <c r="W576" s="5"/>
      <c r="Y576" s="5"/>
    </row>
    <row r="577" spans="6:25" ht="15.75" customHeight="1" x14ac:dyDescent="0.3">
      <c r="F577" s="5"/>
      <c r="I577" s="6"/>
      <c r="K577" s="5"/>
      <c r="M577" s="5"/>
      <c r="O577" s="5"/>
      <c r="Q577" s="5"/>
      <c r="S577" s="5"/>
      <c r="U577" s="5"/>
      <c r="W577" s="5"/>
      <c r="Y577" s="5"/>
    </row>
    <row r="578" spans="6:25" ht="15.75" customHeight="1" x14ac:dyDescent="0.3">
      <c r="F578" s="5"/>
      <c r="I578" s="6"/>
      <c r="K578" s="5"/>
      <c r="M578" s="5"/>
      <c r="O578" s="5"/>
      <c r="Q578" s="5"/>
      <c r="S578" s="5"/>
      <c r="U578" s="5"/>
      <c r="W578" s="5"/>
      <c r="Y578" s="5"/>
    </row>
    <row r="579" spans="6:25" ht="15.75" customHeight="1" x14ac:dyDescent="0.3">
      <c r="F579" s="5"/>
      <c r="I579" s="6"/>
      <c r="K579" s="5"/>
      <c r="M579" s="5"/>
      <c r="O579" s="5"/>
      <c r="Q579" s="5"/>
      <c r="S579" s="5"/>
      <c r="U579" s="5"/>
      <c r="W579" s="5"/>
      <c r="Y579" s="5"/>
    </row>
    <row r="580" spans="6:25" ht="15.75" customHeight="1" x14ac:dyDescent="0.3">
      <c r="F580" s="5"/>
      <c r="I580" s="6"/>
      <c r="K580" s="5"/>
      <c r="M580" s="5"/>
      <c r="O580" s="5"/>
      <c r="Q580" s="5"/>
      <c r="S580" s="5"/>
      <c r="U580" s="5"/>
      <c r="W580" s="5"/>
      <c r="Y580" s="5"/>
    </row>
    <row r="581" spans="6:25" ht="15.75" customHeight="1" x14ac:dyDescent="0.3">
      <c r="F581" s="5"/>
      <c r="I581" s="6"/>
      <c r="K581" s="5"/>
      <c r="M581" s="5"/>
      <c r="O581" s="5"/>
      <c r="Q581" s="5"/>
      <c r="S581" s="5"/>
      <c r="U581" s="5"/>
      <c r="W581" s="5"/>
      <c r="Y581" s="5"/>
    </row>
    <row r="582" spans="6:25" ht="15.75" customHeight="1" x14ac:dyDescent="0.3">
      <c r="F582" s="5"/>
      <c r="I582" s="6"/>
      <c r="K582" s="5"/>
      <c r="M582" s="5"/>
      <c r="O582" s="5"/>
      <c r="Q582" s="5"/>
      <c r="S582" s="5"/>
      <c r="U582" s="5"/>
      <c r="W582" s="5"/>
      <c r="Y582" s="5"/>
    </row>
    <row r="583" spans="6:25" ht="15.75" customHeight="1" x14ac:dyDescent="0.3">
      <c r="F583" s="5"/>
      <c r="I583" s="6"/>
      <c r="K583" s="5"/>
      <c r="M583" s="5"/>
      <c r="O583" s="5"/>
      <c r="Q583" s="5"/>
      <c r="S583" s="5"/>
      <c r="U583" s="5"/>
      <c r="W583" s="5"/>
      <c r="Y583" s="5"/>
    </row>
    <row r="584" spans="6:25" ht="15.75" customHeight="1" x14ac:dyDescent="0.3">
      <c r="F584" s="5"/>
      <c r="I584" s="6"/>
      <c r="K584" s="5"/>
      <c r="M584" s="5"/>
      <c r="O584" s="5"/>
      <c r="Q584" s="5"/>
      <c r="S584" s="5"/>
      <c r="U584" s="5"/>
      <c r="W584" s="5"/>
      <c r="Y584" s="5"/>
    </row>
    <row r="585" spans="6:25" ht="15.75" customHeight="1" x14ac:dyDescent="0.3">
      <c r="F585" s="5"/>
      <c r="I585" s="6"/>
      <c r="K585" s="5"/>
      <c r="M585" s="5"/>
      <c r="O585" s="5"/>
      <c r="Q585" s="5"/>
      <c r="S585" s="5"/>
      <c r="U585" s="5"/>
      <c r="W585" s="5"/>
      <c r="Y585" s="5"/>
    </row>
    <row r="586" spans="6:25" ht="15.75" customHeight="1" x14ac:dyDescent="0.3">
      <c r="F586" s="5"/>
      <c r="I586" s="6"/>
      <c r="K586" s="5"/>
      <c r="M586" s="5"/>
      <c r="O586" s="5"/>
      <c r="Q586" s="5"/>
      <c r="S586" s="5"/>
      <c r="U586" s="5"/>
      <c r="W586" s="5"/>
      <c r="Y586" s="5"/>
    </row>
    <row r="587" spans="6:25" ht="15.75" customHeight="1" x14ac:dyDescent="0.3">
      <c r="F587" s="5"/>
      <c r="I587" s="6"/>
      <c r="K587" s="5"/>
      <c r="M587" s="5"/>
      <c r="O587" s="5"/>
      <c r="Q587" s="5"/>
      <c r="S587" s="5"/>
      <c r="U587" s="5"/>
      <c r="W587" s="5"/>
      <c r="Y587" s="5"/>
    </row>
    <row r="588" spans="6:25" ht="15.75" customHeight="1" x14ac:dyDescent="0.3">
      <c r="F588" s="5"/>
      <c r="I588" s="6"/>
      <c r="K588" s="5"/>
      <c r="M588" s="5"/>
      <c r="O588" s="5"/>
      <c r="Q588" s="5"/>
      <c r="S588" s="5"/>
      <c r="U588" s="5"/>
      <c r="W588" s="5"/>
      <c r="Y588" s="5"/>
    </row>
    <row r="589" spans="6:25" ht="15.75" customHeight="1" x14ac:dyDescent="0.3">
      <c r="F589" s="5"/>
      <c r="I589" s="6"/>
      <c r="K589" s="5"/>
      <c r="M589" s="5"/>
      <c r="O589" s="5"/>
      <c r="Q589" s="5"/>
      <c r="S589" s="5"/>
      <c r="U589" s="5"/>
      <c r="W589" s="5"/>
      <c r="Y589" s="5"/>
    </row>
    <row r="590" spans="6:25" ht="15.75" customHeight="1" x14ac:dyDescent="0.3">
      <c r="F590" s="5"/>
      <c r="I590" s="6"/>
      <c r="K590" s="5"/>
      <c r="M590" s="5"/>
      <c r="O590" s="5"/>
      <c r="Q590" s="5"/>
      <c r="S590" s="5"/>
      <c r="U590" s="5"/>
      <c r="W590" s="5"/>
      <c r="Y590" s="5"/>
    </row>
    <row r="591" spans="6:25" ht="15.75" customHeight="1" x14ac:dyDescent="0.3">
      <c r="F591" s="5"/>
      <c r="I591" s="6"/>
      <c r="K591" s="5"/>
      <c r="M591" s="5"/>
      <c r="O591" s="5"/>
      <c r="Q591" s="5"/>
      <c r="S591" s="5"/>
      <c r="U591" s="5"/>
      <c r="W591" s="5"/>
      <c r="Y591" s="5"/>
    </row>
    <row r="592" spans="6:25" ht="15.75" customHeight="1" x14ac:dyDescent="0.3">
      <c r="F592" s="5"/>
      <c r="I592" s="6"/>
      <c r="K592" s="5"/>
      <c r="M592" s="5"/>
      <c r="O592" s="5"/>
      <c r="Q592" s="5"/>
      <c r="S592" s="5"/>
      <c r="U592" s="5"/>
      <c r="W592" s="5"/>
      <c r="Y592" s="5"/>
    </row>
    <row r="593" spans="6:25" ht="15.75" customHeight="1" x14ac:dyDescent="0.3">
      <c r="F593" s="5"/>
      <c r="I593" s="6"/>
      <c r="K593" s="5"/>
      <c r="M593" s="5"/>
      <c r="O593" s="5"/>
      <c r="Q593" s="5"/>
      <c r="S593" s="5"/>
      <c r="U593" s="5"/>
      <c r="W593" s="5"/>
      <c r="Y593" s="5"/>
    </row>
    <row r="594" spans="6:25" ht="15.75" customHeight="1" x14ac:dyDescent="0.3">
      <c r="F594" s="5"/>
      <c r="I594" s="6"/>
      <c r="K594" s="5"/>
      <c r="M594" s="5"/>
      <c r="O594" s="5"/>
      <c r="Q594" s="5"/>
      <c r="S594" s="5"/>
      <c r="U594" s="5"/>
      <c r="W594" s="5"/>
      <c r="Y594" s="5"/>
    </row>
    <row r="595" spans="6:25" ht="15.75" customHeight="1" x14ac:dyDescent="0.3">
      <c r="F595" s="5"/>
      <c r="I595" s="6"/>
      <c r="K595" s="5"/>
      <c r="M595" s="5"/>
      <c r="O595" s="5"/>
      <c r="Q595" s="5"/>
      <c r="S595" s="5"/>
      <c r="U595" s="5"/>
      <c r="W595" s="5"/>
      <c r="Y595" s="5"/>
    </row>
    <row r="596" spans="6:25" ht="15.75" customHeight="1" x14ac:dyDescent="0.3">
      <c r="F596" s="5"/>
      <c r="I596" s="6"/>
      <c r="K596" s="5"/>
      <c r="M596" s="5"/>
      <c r="O596" s="5"/>
      <c r="Q596" s="5"/>
      <c r="S596" s="5"/>
      <c r="U596" s="5"/>
      <c r="W596" s="5"/>
      <c r="Y596" s="5"/>
    </row>
    <row r="597" spans="6:25" ht="15.75" customHeight="1" x14ac:dyDescent="0.3">
      <c r="F597" s="5"/>
      <c r="I597" s="6"/>
      <c r="K597" s="5"/>
      <c r="M597" s="5"/>
      <c r="O597" s="5"/>
      <c r="Q597" s="5"/>
      <c r="S597" s="5"/>
      <c r="U597" s="5"/>
      <c r="W597" s="5"/>
      <c r="Y597" s="5"/>
    </row>
    <row r="598" spans="6:25" ht="15.75" customHeight="1" x14ac:dyDescent="0.3">
      <c r="F598" s="5"/>
      <c r="I598" s="6"/>
      <c r="K598" s="5"/>
      <c r="M598" s="5"/>
      <c r="O598" s="5"/>
      <c r="Q598" s="5"/>
      <c r="S598" s="5"/>
      <c r="U598" s="5"/>
      <c r="W598" s="5"/>
      <c r="Y598" s="5"/>
    </row>
    <row r="599" spans="6:25" ht="15.75" customHeight="1" x14ac:dyDescent="0.3">
      <c r="F599" s="5"/>
      <c r="I599" s="6"/>
      <c r="K599" s="5"/>
      <c r="M599" s="5"/>
      <c r="O599" s="5"/>
      <c r="Q599" s="5"/>
      <c r="S599" s="5"/>
      <c r="U599" s="5"/>
      <c r="W599" s="5"/>
      <c r="Y599" s="5"/>
    </row>
    <row r="600" spans="6:25" ht="15.75" customHeight="1" x14ac:dyDescent="0.3">
      <c r="F600" s="5"/>
      <c r="I600" s="6"/>
      <c r="K600" s="5"/>
      <c r="M600" s="5"/>
      <c r="O600" s="5"/>
      <c r="Q600" s="5"/>
      <c r="S600" s="5"/>
      <c r="U600" s="5"/>
      <c r="W600" s="5"/>
      <c r="Y600" s="5"/>
    </row>
    <row r="601" spans="6:25" ht="15.75" customHeight="1" x14ac:dyDescent="0.3">
      <c r="F601" s="5"/>
      <c r="I601" s="6"/>
      <c r="K601" s="5"/>
      <c r="M601" s="5"/>
      <c r="O601" s="5"/>
      <c r="Q601" s="5"/>
      <c r="S601" s="5"/>
      <c r="U601" s="5"/>
      <c r="W601" s="5"/>
      <c r="Y601" s="5"/>
    </row>
    <row r="602" spans="6:25" ht="15.75" customHeight="1" x14ac:dyDescent="0.3">
      <c r="F602" s="5"/>
      <c r="I602" s="6"/>
      <c r="K602" s="5"/>
      <c r="M602" s="5"/>
      <c r="O602" s="5"/>
      <c r="Q602" s="5"/>
      <c r="S602" s="5"/>
      <c r="U602" s="5"/>
      <c r="W602" s="5"/>
      <c r="Y602" s="5"/>
    </row>
    <row r="603" spans="6:25" ht="15.75" customHeight="1" x14ac:dyDescent="0.3">
      <c r="F603" s="5"/>
      <c r="I603" s="6"/>
      <c r="K603" s="5"/>
      <c r="M603" s="5"/>
      <c r="O603" s="5"/>
      <c r="Q603" s="5"/>
      <c r="S603" s="5"/>
      <c r="U603" s="5"/>
      <c r="W603" s="5"/>
      <c r="Y603" s="5"/>
    </row>
    <row r="604" spans="6:25" ht="15.75" customHeight="1" x14ac:dyDescent="0.3">
      <c r="F604" s="5"/>
      <c r="I604" s="6"/>
      <c r="K604" s="5"/>
      <c r="M604" s="5"/>
      <c r="O604" s="5"/>
      <c r="Q604" s="5"/>
      <c r="S604" s="5"/>
      <c r="U604" s="5"/>
      <c r="W604" s="5"/>
      <c r="Y604" s="5"/>
    </row>
    <row r="605" spans="6:25" ht="15.75" customHeight="1" x14ac:dyDescent="0.3">
      <c r="F605" s="5"/>
      <c r="I605" s="6"/>
      <c r="K605" s="5"/>
      <c r="M605" s="5"/>
      <c r="O605" s="5"/>
      <c r="Q605" s="5"/>
      <c r="S605" s="5"/>
      <c r="U605" s="5"/>
      <c r="W605" s="5"/>
      <c r="Y605" s="5"/>
    </row>
    <row r="606" spans="6:25" ht="15.75" customHeight="1" x14ac:dyDescent="0.3">
      <c r="F606" s="5"/>
      <c r="I606" s="6"/>
      <c r="K606" s="5"/>
      <c r="M606" s="5"/>
      <c r="O606" s="5"/>
      <c r="Q606" s="5"/>
      <c r="S606" s="5"/>
      <c r="U606" s="5"/>
      <c r="W606" s="5"/>
      <c r="Y606" s="5"/>
    </row>
    <row r="607" spans="6:25" ht="15.75" customHeight="1" x14ac:dyDescent="0.3">
      <c r="F607" s="5"/>
      <c r="I607" s="6"/>
      <c r="K607" s="5"/>
      <c r="M607" s="5"/>
      <c r="O607" s="5"/>
      <c r="Q607" s="5"/>
      <c r="S607" s="5"/>
      <c r="U607" s="5"/>
      <c r="W607" s="5"/>
      <c r="Y607" s="5"/>
    </row>
    <row r="608" spans="6:25" ht="15.75" customHeight="1" x14ac:dyDescent="0.3">
      <c r="F608" s="5"/>
      <c r="I608" s="6"/>
      <c r="K608" s="5"/>
      <c r="M608" s="5"/>
      <c r="O608" s="5"/>
      <c r="Q608" s="5"/>
      <c r="S608" s="5"/>
      <c r="U608" s="5"/>
      <c r="W608" s="5"/>
      <c r="Y608" s="5"/>
    </row>
    <row r="609" spans="6:25" ht="15.75" customHeight="1" x14ac:dyDescent="0.3">
      <c r="F609" s="5"/>
      <c r="I609" s="6"/>
      <c r="K609" s="5"/>
      <c r="M609" s="5"/>
      <c r="O609" s="5"/>
      <c r="Q609" s="5"/>
      <c r="S609" s="5"/>
      <c r="U609" s="5"/>
      <c r="W609" s="5"/>
      <c r="Y609" s="5"/>
    </row>
    <row r="610" spans="6:25" ht="15.75" customHeight="1" x14ac:dyDescent="0.3">
      <c r="F610" s="5"/>
      <c r="I610" s="6"/>
      <c r="K610" s="5"/>
      <c r="M610" s="5"/>
      <c r="O610" s="5"/>
      <c r="Q610" s="5"/>
      <c r="S610" s="5"/>
      <c r="U610" s="5"/>
      <c r="W610" s="5"/>
      <c r="Y610" s="5"/>
    </row>
    <row r="611" spans="6:25" ht="15.75" customHeight="1" x14ac:dyDescent="0.3">
      <c r="F611" s="5"/>
      <c r="I611" s="6"/>
      <c r="K611" s="5"/>
      <c r="M611" s="5"/>
      <c r="O611" s="5"/>
      <c r="Q611" s="5"/>
      <c r="S611" s="5"/>
      <c r="U611" s="5"/>
      <c r="W611" s="5"/>
      <c r="Y611" s="5"/>
    </row>
    <row r="612" spans="6:25" ht="15.75" customHeight="1" x14ac:dyDescent="0.3">
      <c r="F612" s="5"/>
      <c r="I612" s="6"/>
      <c r="K612" s="5"/>
      <c r="M612" s="5"/>
      <c r="O612" s="5"/>
      <c r="Q612" s="5"/>
      <c r="S612" s="5"/>
      <c r="U612" s="5"/>
      <c r="W612" s="5"/>
      <c r="Y612" s="5"/>
    </row>
    <row r="613" spans="6:25" ht="15.75" customHeight="1" x14ac:dyDescent="0.3">
      <c r="F613" s="5"/>
      <c r="I613" s="6"/>
      <c r="K613" s="5"/>
      <c r="M613" s="5"/>
      <c r="O613" s="5"/>
      <c r="Q613" s="5"/>
      <c r="S613" s="5"/>
      <c r="U613" s="5"/>
      <c r="W613" s="5"/>
      <c r="Y613" s="5"/>
    </row>
    <row r="614" spans="6:25" ht="15.75" customHeight="1" x14ac:dyDescent="0.3">
      <c r="F614" s="5"/>
      <c r="I614" s="6"/>
      <c r="K614" s="5"/>
      <c r="M614" s="5"/>
      <c r="O614" s="5"/>
      <c r="Q614" s="5"/>
      <c r="S614" s="5"/>
      <c r="U614" s="5"/>
      <c r="W614" s="5"/>
      <c r="Y614" s="5"/>
    </row>
    <row r="615" spans="6:25" ht="15.75" customHeight="1" x14ac:dyDescent="0.3">
      <c r="F615" s="5"/>
      <c r="I615" s="6"/>
      <c r="K615" s="5"/>
      <c r="M615" s="5"/>
      <c r="O615" s="5"/>
      <c r="Q615" s="5"/>
      <c r="S615" s="5"/>
      <c r="U615" s="5"/>
      <c r="W615" s="5"/>
      <c r="Y615" s="5"/>
    </row>
    <row r="616" spans="6:25" ht="15.75" customHeight="1" x14ac:dyDescent="0.3">
      <c r="F616" s="5"/>
      <c r="I616" s="6"/>
      <c r="K616" s="5"/>
      <c r="M616" s="5"/>
      <c r="O616" s="5"/>
      <c r="Q616" s="5"/>
      <c r="S616" s="5"/>
      <c r="U616" s="5"/>
      <c r="W616" s="5"/>
      <c r="Y616" s="5"/>
    </row>
    <row r="617" spans="6:25" ht="15.75" customHeight="1" x14ac:dyDescent="0.3">
      <c r="F617" s="5"/>
      <c r="I617" s="6"/>
      <c r="K617" s="5"/>
      <c r="M617" s="5"/>
      <c r="O617" s="5"/>
      <c r="Q617" s="5"/>
      <c r="S617" s="5"/>
      <c r="U617" s="5"/>
      <c r="W617" s="5"/>
      <c r="Y617" s="5"/>
    </row>
    <row r="618" spans="6:25" ht="15.75" customHeight="1" x14ac:dyDescent="0.3">
      <c r="F618" s="5"/>
      <c r="I618" s="6"/>
      <c r="K618" s="5"/>
      <c r="M618" s="5"/>
      <c r="O618" s="5"/>
      <c r="Q618" s="5"/>
      <c r="S618" s="5"/>
      <c r="U618" s="5"/>
      <c r="W618" s="5"/>
      <c r="Y618" s="5"/>
    </row>
    <row r="619" spans="6:25" ht="15.75" customHeight="1" x14ac:dyDescent="0.3">
      <c r="F619" s="5"/>
      <c r="I619" s="6"/>
      <c r="K619" s="5"/>
      <c r="M619" s="5"/>
      <c r="O619" s="5"/>
      <c r="Q619" s="5"/>
      <c r="S619" s="5"/>
      <c r="U619" s="5"/>
      <c r="W619" s="5"/>
      <c r="Y619" s="5"/>
    </row>
    <row r="620" spans="6:25" ht="15.75" customHeight="1" x14ac:dyDescent="0.3">
      <c r="F620" s="5"/>
      <c r="I620" s="6"/>
      <c r="K620" s="5"/>
      <c r="M620" s="5"/>
      <c r="O620" s="5"/>
      <c r="Q620" s="5"/>
      <c r="S620" s="5"/>
      <c r="U620" s="5"/>
      <c r="W620" s="5"/>
      <c r="Y620" s="5"/>
    </row>
    <row r="621" spans="6:25" ht="15.75" customHeight="1" x14ac:dyDescent="0.3">
      <c r="F621" s="5"/>
      <c r="I621" s="6"/>
      <c r="K621" s="5"/>
      <c r="M621" s="5"/>
      <c r="O621" s="5"/>
      <c r="Q621" s="5"/>
      <c r="S621" s="5"/>
      <c r="U621" s="5"/>
      <c r="W621" s="5"/>
      <c r="Y621" s="5"/>
    </row>
    <row r="622" spans="6:25" ht="15.75" customHeight="1" x14ac:dyDescent="0.3">
      <c r="F622" s="5"/>
      <c r="I622" s="6"/>
      <c r="K622" s="5"/>
      <c r="M622" s="5"/>
      <c r="O622" s="5"/>
      <c r="Q622" s="5"/>
      <c r="S622" s="5"/>
      <c r="U622" s="5"/>
      <c r="W622" s="5"/>
      <c r="Y622" s="5"/>
    </row>
    <row r="623" spans="6:25" ht="15.75" customHeight="1" x14ac:dyDescent="0.3">
      <c r="F623" s="5"/>
      <c r="I623" s="6"/>
      <c r="K623" s="5"/>
      <c r="M623" s="5"/>
      <c r="O623" s="5"/>
      <c r="Q623" s="5"/>
      <c r="S623" s="5"/>
      <c r="U623" s="5"/>
      <c r="W623" s="5"/>
      <c r="Y623" s="5"/>
    </row>
    <row r="624" spans="6:25" ht="15.75" customHeight="1" x14ac:dyDescent="0.3">
      <c r="F624" s="5"/>
      <c r="I624" s="6"/>
      <c r="K624" s="5"/>
      <c r="M624" s="5"/>
      <c r="O624" s="5"/>
      <c r="Q624" s="5"/>
      <c r="S624" s="5"/>
      <c r="U624" s="5"/>
      <c r="W624" s="5"/>
      <c r="Y624" s="5"/>
    </row>
    <row r="625" spans="6:25" ht="15.75" customHeight="1" x14ac:dyDescent="0.3">
      <c r="F625" s="5"/>
      <c r="I625" s="6"/>
      <c r="K625" s="5"/>
      <c r="M625" s="5"/>
      <c r="O625" s="5"/>
      <c r="Q625" s="5"/>
      <c r="S625" s="5"/>
      <c r="U625" s="5"/>
      <c r="W625" s="5"/>
      <c r="Y625" s="5"/>
    </row>
    <row r="626" spans="6:25" ht="15.75" customHeight="1" x14ac:dyDescent="0.3">
      <c r="F626" s="5"/>
      <c r="I626" s="6"/>
      <c r="K626" s="5"/>
      <c r="M626" s="5"/>
      <c r="O626" s="5"/>
      <c r="Q626" s="5"/>
      <c r="S626" s="5"/>
      <c r="U626" s="5"/>
      <c r="W626" s="5"/>
      <c r="Y626" s="5"/>
    </row>
    <row r="627" spans="6:25" ht="15.75" customHeight="1" x14ac:dyDescent="0.3">
      <c r="F627" s="5"/>
      <c r="I627" s="6"/>
      <c r="K627" s="5"/>
      <c r="M627" s="5"/>
      <c r="O627" s="5"/>
      <c r="Q627" s="5"/>
      <c r="S627" s="5"/>
      <c r="U627" s="5"/>
      <c r="W627" s="5"/>
      <c r="Y627" s="5"/>
    </row>
    <row r="628" spans="6:25" ht="15.75" customHeight="1" x14ac:dyDescent="0.3">
      <c r="F628" s="5"/>
      <c r="I628" s="6"/>
      <c r="K628" s="5"/>
      <c r="M628" s="5"/>
      <c r="O628" s="5"/>
      <c r="Q628" s="5"/>
      <c r="S628" s="5"/>
      <c r="U628" s="5"/>
      <c r="W628" s="5"/>
      <c r="Y628" s="5"/>
    </row>
    <row r="629" spans="6:25" ht="15.75" customHeight="1" x14ac:dyDescent="0.3">
      <c r="F629" s="5"/>
      <c r="I629" s="6"/>
      <c r="K629" s="5"/>
      <c r="M629" s="5"/>
      <c r="O629" s="5"/>
      <c r="Q629" s="5"/>
      <c r="S629" s="5"/>
      <c r="U629" s="5"/>
      <c r="W629" s="5"/>
      <c r="Y629" s="5"/>
    </row>
    <row r="630" spans="6:25" ht="15.75" customHeight="1" x14ac:dyDescent="0.3">
      <c r="F630" s="5"/>
      <c r="I630" s="6"/>
      <c r="K630" s="5"/>
      <c r="M630" s="5"/>
      <c r="O630" s="5"/>
      <c r="Q630" s="5"/>
      <c r="S630" s="5"/>
      <c r="U630" s="5"/>
      <c r="W630" s="5"/>
      <c r="Y630" s="5"/>
    </row>
    <row r="631" spans="6:25" ht="15.75" customHeight="1" x14ac:dyDescent="0.3">
      <c r="F631" s="5"/>
      <c r="I631" s="6"/>
      <c r="K631" s="5"/>
      <c r="M631" s="5"/>
      <c r="O631" s="5"/>
      <c r="Q631" s="5"/>
      <c r="S631" s="5"/>
      <c r="U631" s="5"/>
      <c r="W631" s="5"/>
      <c r="Y631" s="5"/>
    </row>
    <row r="632" spans="6:25" ht="15.75" customHeight="1" x14ac:dyDescent="0.3">
      <c r="F632" s="5"/>
      <c r="I632" s="6"/>
      <c r="K632" s="5"/>
      <c r="M632" s="5"/>
      <c r="O632" s="5"/>
      <c r="Q632" s="5"/>
      <c r="S632" s="5"/>
      <c r="U632" s="5"/>
      <c r="W632" s="5"/>
      <c r="Y632" s="5"/>
    </row>
    <row r="633" spans="6:25" ht="15.75" customHeight="1" x14ac:dyDescent="0.3">
      <c r="F633" s="5"/>
      <c r="I633" s="6"/>
      <c r="K633" s="5"/>
      <c r="M633" s="5"/>
      <c r="O633" s="5"/>
      <c r="Q633" s="5"/>
      <c r="S633" s="5"/>
      <c r="U633" s="5"/>
      <c r="W633" s="5"/>
      <c r="Y633" s="5"/>
    </row>
    <row r="634" spans="6:25" ht="15.75" customHeight="1" x14ac:dyDescent="0.3">
      <c r="F634" s="5"/>
      <c r="I634" s="6"/>
      <c r="K634" s="5"/>
      <c r="M634" s="5"/>
      <c r="O634" s="5"/>
      <c r="Q634" s="5"/>
      <c r="S634" s="5"/>
      <c r="U634" s="5"/>
      <c r="W634" s="5"/>
      <c r="Y634" s="5"/>
    </row>
    <row r="635" spans="6:25" ht="15.75" customHeight="1" x14ac:dyDescent="0.3">
      <c r="F635" s="5"/>
      <c r="I635" s="6"/>
      <c r="K635" s="5"/>
      <c r="M635" s="5"/>
      <c r="O635" s="5"/>
      <c r="Q635" s="5"/>
      <c r="S635" s="5"/>
      <c r="U635" s="5"/>
      <c r="W635" s="5"/>
      <c r="Y635" s="5"/>
    </row>
    <row r="636" spans="6:25" ht="15.75" customHeight="1" x14ac:dyDescent="0.3">
      <c r="F636" s="5"/>
      <c r="I636" s="6"/>
      <c r="K636" s="5"/>
      <c r="M636" s="5"/>
      <c r="O636" s="5"/>
      <c r="Q636" s="5"/>
      <c r="S636" s="5"/>
      <c r="U636" s="5"/>
      <c r="W636" s="5"/>
      <c r="Y636" s="5"/>
    </row>
    <row r="637" spans="6:25" ht="15.75" customHeight="1" x14ac:dyDescent="0.3">
      <c r="F637" s="5"/>
      <c r="I637" s="6"/>
      <c r="K637" s="5"/>
      <c r="M637" s="5"/>
      <c r="O637" s="5"/>
      <c r="Q637" s="5"/>
      <c r="S637" s="5"/>
      <c r="U637" s="5"/>
      <c r="W637" s="5"/>
      <c r="Y637" s="5"/>
    </row>
    <row r="638" spans="6:25" ht="15.75" customHeight="1" x14ac:dyDescent="0.3">
      <c r="F638" s="5"/>
      <c r="I638" s="6"/>
      <c r="K638" s="5"/>
      <c r="M638" s="5"/>
      <c r="O638" s="5"/>
      <c r="Q638" s="5"/>
      <c r="S638" s="5"/>
      <c r="U638" s="5"/>
      <c r="W638" s="5"/>
      <c r="Y638" s="5"/>
    </row>
    <row r="639" spans="6:25" ht="15.75" customHeight="1" x14ac:dyDescent="0.3">
      <c r="F639" s="5"/>
      <c r="I639" s="6"/>
      <c r="K639" s="5"/>
      <c r="M639" s="5"/>
      <c r="O639" s="5"/>
      <c r="Q639" s="5"/>
      <c r="S639" s="5"/>
      <c r="U639" s="5"/>
      <c r="W639" s="5"/>
      <c r="Y639" s="5"/>
    </row>
    <row r="640" spans="6:25" ht="15.75" customHeight="1" x14ac:dyDescent="0.3">
      <c r="F640" s="5"/>
      <c r="I640" s="6"/>
      <c r="K640" s="5"/>
      <c r="M640" s="5"/>
      <c r="O640" s="5"/>
      <c r="Q640" s="5"/>
      <c r="S640" s="5"/>
      <c r="U640" s="5"/>
      <c r="W640" s="5"/>
      <c r="Y640" s="5"/>
    </row>
    <row r="641" spans="6:25" ht="15.75" customHeight="1" x14ac:dyDescent="0.3">
      <c r="F641" s="5"/>
      <c r="I641" s="6"/>
      <c r="K641" s="5"/>
      <c r="M641" s="5"/>
      <c r="O641" s="5"/>
      <c r="Q641" s="5"/>
      <c r="S641" s="5"/>
      <c r="U641" s="5"/>
      <c r="W641" s="5"/>
      <c r="Y641" s="5"/>
    </row>
    <row r="642" spans="6:25" ht="15.75" customHeight="1" x14ac:dyDescent="0.3">
      <c r="F642" s="5"/>
      <c r="I642" s="6"/>
      <c r="K642" s="5"/>
      <c r="M642" s="5"/>
      <c r="O642" s="5"/>
      <c r="Q642" s="5"/>
      <c r="S642" s="5"/>
      <c r="U642" s="5"/>
      <c r="W642" s="5"/>
      <c r="Y642" s="5"/>
    </row>
    <row r="643" spans="6:25" ht="15.75" customHeight="1" x14ac:dyDescent="0.3">
      <c r="F643" s="5"/>
      <c r="I643" s="6"/>
      <c r="K643" s="5"/>
      <c r="M643" s="5"/>
      <c r="O643" s="5"/>
      <c r="Q643" s="5"/>
      <c r="S643" s="5"/>
      <c r="U643" s="5"/>
      <c r="W643" s="5"/>
      <c r="Y643" s="5"/>
    </row>
    <row r="644" spans="6:25" ht="15.75" customHeight="1" x14ac:dyDescent="0.3">
      <c r="F644" s="5"/>
      <c r="I644" s="6"/>
      <c r="K644" s="5"/>
      <c r="M644" s="5"/>
      <c r="O644" s="5"/>
      <c r="Q644" s="5"/>
      <c r="S644" s="5"/>
      <c r="U644" s="5"/>
      <c r="W644" s="5"/>
      <c r="Y644" s="5"/>
    </row>
    <row r="645" spans="6:25" ht="15.75" customHeight="1" x14ac:dyDescent="0.3">
      <c r="F645" s="5"/>
      <c r="I645" s="6"/>
      <c r="K645" s="5"/>
      <c r="M645" s="5"/>
      <c r="O645" s="5"/>
      <c r="Q645" s="5"/>
      <c r="S645" s="5"/>
      <c r="U645" s="5"/>
      <c r="W645" s="5"/>
      <c r="Y645" s="5"/>
    </row>
    <row r="646" spans="6:25" ht="15.75" customHeight="1" x14ac:dyDescent="0.3">
      <c r="F646" s="5"/>
      <c r="I646" s="6"/>
      <c r="K646" s="5"/>
      <c r="M646" s="5"/>
      <c r="O646" s="5"/>
      <c r="Q646" s="5"/>
      <c r="S646" s="5"/>
      <c r="U646" s="5"/>
      <c r="W646" s="5"/>
      <c r="Y646" s="5"/>
    </row>
    <row r="647" spans="6:25" ht="15.75" customHeight="1" x14ac:dyDescent="0.3">
      <c r="F647" s="5"/>
      <c r="I647" s="6"/>
      <c r="K647" s="5"/>
      <c r="M647" s="5"/>
      <c r="O647" s="5"/>
      <c r="Q647" s="5"/>
      <c r="S647" s="5"/>
      <c r="U647" s="5"/>
      <c r="W647" s="5"/>
      <c r="Y647" s="5"/>
    </row>
    <row r="648" spans="6:25" ht="15.75" customHeight="1" x14ac:dyDescent="0.3">
      <c r="F648" s="5"/>
      <c r="I648" s="6"/>
      <c r="K648" s="5"/>
      <c r="M648" s="5"/>
      <c r="O648" s="5"/>
      <c r="Q648" s="5"/>
      <c r="S648" s="5"/>
      <c r="U648" s="5"/>
      <c r="W648" s="5"/>
      <c r="Y648" s="5"/>
    </row>
    <row r="649" spans="6:25" ht="15.75" customHeight="1" x14ac:dyDescent="0.3">
      <c r="F649" s="5"/>
      <c r="I649" s="6"/>
      <c r="K649" s="5"/>
      <c r="M649" s="5"/>
      <c r="O649" s="5"/>
      <c r="Q649" s="5"/>
      <c r="S649" s="5"/>
      <c r="U649" s="5"/>
      <c r="W649" s="5"/>
      <c r="Y649" s="5"/>
    </row>
    <row r="650" spans="6:25" ht="15.75" customHeight="1" x14ac:dyDescent="0.3">
      <c r="F650" s="5"/>
      <c r="I650" s="6"/>
      <c r="K650" s="5"/>
      <c r="M650" s="5"/>
      <c r="O650" s="5"/>
      <c r="Q650" s="5"/>
      <c r="S650" s="5"/>
      <c r="U650" s="5"/>
      <c r="W650" s="5"/>
      <c r="Y650" s="5"/>
    </row>
    <row r="651" spans="6:25" ht="15.75" customHeight="1" x14ac:dyDescent="0.3">
      <c r="F651" s="5"/>
      <c r="I651" s="6"/>
      <c r="K651" s="5"/>
      <c r="M651" s="5"/>
      <c r="O651" s="5"/>
      <c r="Q651" s="5"/>
      <c r="S651" s="5"/>
      <c r="U651" s="5"/>
      <c r="W651" s="5"/>
      <c r="Y651" s="5"/>
    </row>
    <row r="652" spans="6:25" ht="15.75" customHeight="1" x14ac:dyDescent="0.3">
      <c r="F652" s="5"/>
      <c r="I652" s="6"/>
      <c r="K652" s="5"/>
      <c r="M652" s="5"/>
      <c r="O652" s="5"/>
      <c r="Q652" s="5"/>
      <c r="S652" s="5"/>
      <c r="U652" s="5"/>
      <c r="W652" s="5"/>
      <c r="Y652" s="5"/>
    </row>
    <row r="653" spans="6:25" ht="15.75" customHeight="1" x14ac:dyDescent="0.3">
      <c r="F653" s="5"/>
      <c r="I653" s="6"/>
      <c r="K653" s="5"/>
      <c r="M653" s="5"/>
      <c r="O653" s="5"/>
      <c r="Q653" s="5"/>
      <c r="S653" s="5"/>
      <c r="U653" s="5"/>
      <c r="W653" s="5"/>
      <c r="Y653" s="5"/>
    </row>
    <row r="654" spans="6:25" ht="15.75" customHeight="1" x14ac:dyDescent="0.3">
      <c r="F654" s="5"/>
      <c r="I654" s="6"/>
      <c r="K654" s="5"/>
      <c r="M654" s="5"/>
      <c r="O654" s="5"/>
      <c r="Q654" s="5"/>
      <c r="S654" s="5"/>
      <c r="U654" s="5"/>
      <c r="W654" s="5"/>
      <c r="Y654" s="5"/>
    </row>
    <row r="655" spans="6:25" ht="15.75" customHeight="1" x14ac:dyDescent="0.3">
      <c r="F655" s="5"/>
      <c r="I655" s="6"/>
      <c r="K655" s="5"/>
      <c r="M655" s="5"/>
      <c r="O655" s="5"/>
      <c r="Q655" s="5"/>
      <c r="S655" s="5"/>
      <c r="U655" s="5"/>
      <c r="W655" s="5"/>
      <c r="Y655" s="5"/>
    </row>
    <row r="656" spans="6:25" ht="15.75" customHeight="1" x14ac:dyDescent="0.3">
      <c r="F656" s="5"/>
      <c r="I656" s="6"/>
      <c r="K656" s="5"/>
      <c r="M656" s="5"/>
      <c r="O656" s="5"/>
      <c r="Q656" s="5"/>
      <c r="S656" s="5"/>
      <c r="U656" s="5"/>
      <c r="W656" s="5"/>
      <c r="Y656" s="5"/>
    </row>
    <row r="657" spans="6:25" ht="15.75" customHeight="1" x14ac:dyDescent="0.3">
      <c r="F657" s="5"/>
      <c r="I657" s="6"/>
      <c r="K657" s="5"/>
      <c r="M657" s="5"/>
      <c r="O657" s="5"/>
      <c r="Q657" s="5"/>
      <c r="S657" s="5"/>
      <c r="U657" s="5"/>
      <c r="W657" s="5"/>
      <c r="Y657" s="5"/>
    </row>
    <row r="658" spans="6:25" ht="15.75" customHeight="1" x14ac:dyDescent="0.3">
      <c r="F658" s="5"/>
      <c r="I658" s="6"/>
      <c r="K658" s="5"/>
      <c r="M658" s="5"/>
      <c r="O658" s="5"/>
      <c r="Q658" s="5"/>
      <c r="S658" s="5"/>
      <c r="U658" s="5"/>
      <c r="W658" s="5"/>
      <c r="Y658" s="5"/>
    </row>
    <row r="659" spans="6:25" ht="15.75" customHeight="1" x14ac:dyDescent="0.3">
      <c r="F659" s="5"/>
      <c r="I659" s="6"/>
      <c r="K659" s="5"/>
      <c r="M659" s="5"/>
      <c r="O659" s="5"/>
      <c r="Q659" s="5"/>
      <c r="S659" s="5"/>
      <c r="U659" s="5"/>
      <c r="W659" s="5"/>
      <c r="Y659" s="5"/>
    </row>
    <row r="660" spans="6:25" ht="15.75" customHeight="1" x14ac:dyDescent="0.3">
      <c r="F660" s="5"/>
      <c r="I660" s="6"/>
      <c r="K660" s="5"/>
      <c r="M660" s="5"/>
      <c r="O660" s="5"/>
      <c r="Q660" s="5"/>
      <c r="S660" s="5"/>
      <c r="U660" s="5"/>
      <c r="W660" s="5"/>
      <c r="Y660" s="5"/>
    </row>
    <row r="661" spans="6:25" ht="15.75" customHeight="1" x14ac:dyDescent="0.3">
      <c r="F661" s="5"/>
      <c r="I661" s="6"/>
      <c r="K661" s="5"/>
      <c r="M661" s="5"/>
      <c r="O661" s="5"/>
      <c r="Q661" s="5"/>
      <c r="S661" s="5"/>
      <c r="U661" s="5"/>
      <c r="W661" s="5"/>
      <c r="Y661" s="5"/>
    </row>
    <row r="662" spans="6:25" ht="15.75" customHeight="1" x14ac:dyDescent="0.3">
      <c r="F662" s="5"/>
      <c r="I662" s="6"/>
      <c r="K662" s="5"/>
      <c r="M662" s="5"/>
      <c r="O662" s="5"/>
      <c r="Q662" s="5"/>
      <c r="S662" s="5"/>
      <c r="U662" s="5"/>
      <c r="W662" s="5"/>
      <c r="Y662" s="5"/>
    </row>
    <row r="663" spans="6:25" ht="15.75" customHeight="1" x14ac:dyDescent="0.3">
      <c r="F663" s="5"/>
      <c r="I663" s="6"/>
      <c r="K663" s="5"/>
      <c r="M663" s="5"/>
      <c r="O663" s="5"/>
      <c r="Q663" s="5"/>
      <c r="S663" s="5"/>
      <c r="U663" s="5"/>
      <c r="W663" s="5"/>
      <c r="Y663" s="5"/>
    </row>
    <row r="664" spans="6:25" ht="15.75" customHeight="1" x14ac:dyDescent="0.3">
      <c r="F664" s="5"/>
      <c r="I664" s="6"/>
      <c r="K664" s="5"/>
      <c r="M664" s="5"/>
      <c r="O664" s="5"/>
      <c r="Q664" s="5"/>
      <c r="S664" s="5"/>
      <c r="U664" s="5"/>
      <c r="W664" s="5"/>
      <c r="Y664" s="5"/>
    </row>
    <row r="665" spans="6:25" ht="15.75" customHeight="1" x14ac:dyDescent="0.3">
      <c r="F665" s="5"/>
      <c r="I665" s="6"/>
      <c r="K665" s="5"/>
      <c r="M665" s="5"/>
      <c r="O665" s="5"/>
      <c r="Q665" s="5"/>
      <c r="S665" s="5"/>
      <c r="U665" s="5"/>
      <c r="W665" s="5"/>
      <c r="Y665" s="5"/>
    </row>
    <row r="666" spans="6:25" ht="15.75" customHeight="1" x14ac:dyDescent="0.3">
      <c r="F666" s="5"/>
      <c r="I666" s="6"/>
      <c r="K666" s="5"/>
      <c r="M666" s="5"/>
      <c r="O666" s="5"/>
      <c r="Q666" s="5"/>
      <c r="S666" s="5"/>
      <c r="U666" s="5"/>
      <c r="W666" s="5"/>
      <c r="Y666" s="5"/>
    </row>
    <row r="667" spans="6:25" ht="15.75" customHeight="1" x14ac:dyDescent="0.3">
      <c r="F667" s="5"/>
      <c r="I667" s="6"/>
      <c r="K667" s="5"/>
      <c r="M667" s="5"/>
      <c r="O667" s="5"/>
      <c r="Q667" s="5"/>
      <c r="S667" s="5"/>
      <c r="U667" s="5"/>
      <c r="W667" s="5"/>
      <c r="Y667" s="5"/>
    </row>
    <row r="668" spans="6:25" ht="15.75" customHeight="1" x14ac:dyDescent="0.3">
      <c r="F668" s="5"/>
      <c r="I668" s="6"/>
      <c r="K668" s="5"/>
      <c r="M668" s="5"/>
      <c r="O668" s="5"/>
      <c r="Q668" s="5"/>
      <c r="S668" s="5"/>
      <c r="U668" s="5"/>
      <c r="W668" s="5"/>
      <c r="Y668" s="5"/>
    </row>
    <row r="669" spans="6:25" ht="15.75" customHeight="1" x14ac:dyDescent="0.3">
      <c r="F669" s="5"/>
      <c r="I669" s="6"/>
      <c r="K669" s="5"/>
      <c r="M669" s="5"/>
      <c r="O669" s="5"/>
      <c r="Q669" s="5"/>
      <c r="S669" s="5"/>
      <c r="U669" s="5"/>
      <c r="W669" s="5"/>
      <c r="Y669" s="5"/>
    </row>
    <row r="670" spans="6:25" ht="15.75" customHeight="1" x14ac:dyDescent="0.3">
      <c r="F670" s="5"/>
      <c r="I670" s="6"/>
      <c r="K670" s="5"/>
      <c r="M670" s="5"/>
      <c r="O670" s="5"/>
      <c r="Q670" s="5"/>
      <c r="S670" s="5"/>
      <c r="U670" s="5"/>
      <c r="W670" s="5"/>
      <c r="Y670" s="5"/>
    </row>
    <row r="671" spans="6:25" ht="15.75" customHeight="1" x14ac:dyDescent="0.3">
      <c r="F671" s="5"/>
      <c r="I671" s="6"/>
      <c r="K671" s="5"/>
      <c r="M671" s="5"/>
      <c r="O671" s="5"/>
      <c r="Q671" s="5"/>
      <c r="S671" s="5"/>
      <c r="U671" s="5"/>
      <c r="W671" s="5"/>
      <c r="Y671" s="5"/>
    </row>
    <row r="672" spans="6:25" ht="15.75" customHeight="1" x14ac:dyDescent="0.3">
      <c r="F672" s="5"/>
      <c r="I672" s="6"/>
      <c r="K672" s="5"/>
      <c r="M672" s="5"/>
      <c r="O672" s="5"/>
      <c r="Q672" s="5"/>
      <c r="S672" s="5"/>
      <c r="U672" s="5"/>
      <c r="W672" s="5"/>
      <c r="Y672" s="5"/>
    </row>
    <row r="673" spans="6:25" ht="15.75" customHeight="1" x14ac:dyDescent="0.3">
      <c r="F673" s="5"/>
      <c r="I673" s="6"/>
      <c r="K673" s="5"/>
      <c r="M673" s="5"/>
      <c r="O673" s="5"/>
      <c r="Q673" s="5"/>
      <c r="S673" s="5"/>
      <c r="U673" s="5"/>
      <c r="W673" s="5"/>
      <c r="Y673" s="5"/>
    </row>
    <row r="674" spans="6:25" ht="15.75" customHeight="1" x14ac:dyDescent="0.3">
      <c r="F674" s="5"/>
      <c r="I674" s="6"/>
      <c r="K674" s="5"/>
      <c r="M674" s="5"/>
      <c r="O674" s="5"/>
      <c r="Q674" s="5"/>
      <c r="S674" s="5"/>
      <c r="U674" s="5"/>
      <c r="W674" s="5"/>
      <c r="Y674" s="5"/>
    </row>
    <row r="675" spans="6:25" ht="15.75" customHeight="1" x14ac:dyDescent="0.3">
      <c r="F675" s="5"/>
      <c r="I675" s="6"/>
      <c r="K675" s="5"/>
      <c r="M675" s="5"/>
      <c r="O675" s="5"/>
      <c r="Q675" s="5"/>
      <c r="S675" s="5"/>
      <c r="U675" s="5"/>
      <c r="W675" s="5"/>
      <c r="Y675" s="5"/>
    </row>
    <row r="676" spans="6:25" ht="15.75" customHeight="1" x14ac:dyDescent="0.3">
      <c r="F676" s="5"/>
      <c r="I676" s="6"/>
      <c r="K676" s="5"/>
      <c r="M676" s="5"/>
      <c r="O676" s="5"/>
      <c r="Q676" s="5"/>
      <c r="S676" s="5"/>
      <c r="U676" s="5"/>
      <c r="W676" s="5"/>
      <c r="Y676" s="5"/>
    </row>
    <row r="677" spans="6:25" ht="15.75" customHeight="1" x14ac:dyDescent="0.3">
      <c r="F677" s="5"/>
      <c r="I677" s="6"/>
      <c r="K677" s="5"/>
      <c r="M677" s="5"/>
      <c r="O677" s="5"/>
      <c r="Q677" s="5"/>
      <c r="S677" s="5"/>
      <c r="U677" s="5"/>
      <c r="W677" s="5"/>
      <c r="Y677" s="5"/>
    </row>
    <row r="678" spans="6:25" ht="15.75" customHeight="1" x14ac:dyDescent="0.3">
      <c r="F678" s="5"/>
      <c r="I678" s="6"/>
      <c r="K678" s="5"/>
      <c r="M678" s="5"/>
      <c r="O678" s="5"/>
      <c r="Q678" s="5"/>
      <c r="S678" s="5"/>
      <c r="U678" s="5"/>
      <c r="W678" s="5"/>
      <c r="Y678" s="5"/>
    </row>
    <row r="679" spans="6:25" ht="15.75" customHeight="1" x14ac:dyDescent="0.3">
      <c r="F679" s="5"/>
      <c r="I679" s="6"/>
      <c r="K679" s="5"/>
      <c r="M679" s="5"/>
      <c r="O679" s="5"/>
      <c r="Q679" s="5"/>
      <c r="S679" s="5"/>
      <c r="U679" s="5"/>
      <c r="W679" s="5"/>
      <c r="Y679" s="5"/>
    </row>
    <row r="680" spans="6:25" ht="15.75" customHeight="1" x14ac:dyDescent="0.3">
      <c r="F680" s="5"/>
      <c r="I680" s="6"/>
      <c r="K680" s="5"/>
      <c r="M680" s="5"/>
      <c r="O680" s="5"/>
      <c r="Q680" s="5"/>
      <c r="S680" s="5"/>
      <c r="U680" s="5"/>
      <c r="W680" s="5"/>
      <c r="Y680" s="5"/>
    </row>
    <row r="681" spans="6:25" ht="15.75" customHeight="1" x14ac:dyDescent="0.3">
      <c r="F681" s="5"/>
      <c r="I681" s="6"/>
      <c r="K681" s="5"/>
      <c r="M681" s="5"/>
      <c r="O681" s="5"/>
      <c r="Q681" s="5"/>
      <c r="S681" s="5"/>
      <c r="U681" s="5"/>
      <c r="W681" s="5"/>
      <c r="Y681" s="5"/>
    </row>
    <row r="682" spans="6:25" ht="15.75" customHeight="1" x14ac:dyDescent="0.3">
      <c r="F682" s="5"/>
      <c r="I682" s="6"/>
      <c r="K682" s="5"/>
      <c r="M682" s="5"/>
      <c r="O682" s="5"/>
      <c r="Q682" s="5"/>
      <c r="S682" s="5"/>
      <c r="U682" s="5"/>
      <c r="W682" s="5"/>
      <c r="Y682" s="5"/>
    </row>
    <row r="683" spans="6:25" ht="15.75" customHeight="1" x14ac:dyDescent="0.3">
      <c r="F683" s="5"/>
      <c r="I683" s="6"/>
      <c r="K683" s="5"/>
      <c r="M683" s="5"/>
      <c r="O683" s="5"/>
      <c r="Q683" s="5"/>
      <c r="S683" s="5"/>
      <c r="U683" s="5"/>
      <c r="W683" s="5"/>
      <c r="Y683" s="5"/>
    </row>
    <row r="684" spans="6:25" ht="15.75" customHeight="1" x14ac:dyDescent="0.3">
      <c r="F684" s="5"/>
      <c r="I684" s="6"/>
      <c r="K684" s="5"/>
      <c r="M684" s="5"/>
      <c r="O684" s="5"/>
      <c r="Q684" s="5"/>
      <c r="S684" s="5"/>
      <c r="U684" s="5"/>
      <c r="W684" s="5"/>
      <c r="Y684" s="5"/>
    </row>
    <row r="685" spans="6:25" ht="15.75" customHeight="1" x14ac:dyDescent="0.3">
      <c r="F685" s="5"/>
      <c r="I685" s="6"/>
      <c r="K685" s="5"/>
      <c r="M685" s="5"/>
      <c r="O685" s="5"/>
      <c r="Q685" s="5"/>
      <c r="S685" s="5"/>
      <c r="U685" s="5"/>
      <c r="W685" s="5"/>
      <c r="Y685" s="5"/>
    </row>
    <row r="686" spans="6:25" ht="15.75" customHeight="1" x14ac:dyDescent="0.3">
      <c r="F686" s="5"/>
      <c r="I686" s="6"/>
      <c r="K686" s="5"/>
      <c r="M686" s="5"/>
      <c r="O686" s="5"/>
      <c r="Q686" s="5"/>
      <c r="S686" s="5"/>
      <c r="U686" s="5"/>
      <c r="W686" s="5"/>
      <c r="Y686" s="5"/>
    </row>
    <row r="687" spans="6:25" ht="15.75" customHeight="1" x14ac:dyDescent="0.3">
      <c r="F687" s="5"/>
      <c r="I687" s="6"/>
      <c r="K687" s="5"/>
      <c r="M687" s="5"/>
      <c r="O687" s="5"/>
      <c r="Q687" s="5"/>
      <c r="S687" s="5"/>
      <c r="U687" s="5"/>
      <c r="W687" s="5"/>
      <c r="Y687" s="5"/>
    </row>
    <row r="688" spans="6:25" ht="15.75" customHeight="1" x14ac:dyDescent="0.3">
      <c r="F688" s="5"/>
      <c r="I688" s="6"/>
      <c r="K688" s="5"/>
      <c r="M688" s="5"/>
      <c r="O688" s="5"/>
      <c r="Q688" s="5"/>
      <c r="S688" s="5"/>
      <c r="U688" s="5"/>
      <c r="W688" s="5"/>
      <c r="Y688" s="5"/>
    </row>
    <row r="689" spans="6:25" ht="15.75" customHeight="1" x14ac:dyDescent="0.3">
      <c r="F689" s="5"/>
      <c r="I689" s="6"/>
      <c r="K689" s="5"/>
      <c r="M689" s="5"/>
      <c r="O689" s="5"/>
      <c r="Q689" s="5"/>
      <c r="S689" s="5"/>
      <c r="U689" s="5"/>
      <c r="W689" s="5"/>
      <c r="Y689" s="5"/>
    </row>
    <row r="690" spans="6:25" ht="15.75" customHeight="1" x14ac:dyDescent="0.3">
      <c r="F690" s="5"/>
      <c r="I690" s="6"/>
      <c r="K690" s="5"/>
      <c r="M690" s="5"/>
      <c r="O690" s="5"/>
      <c r="Q690" s="5"/>
      <c r="S690" s="5"/>
      <c r="U690" s="5"/>
      <c r="W690" s="5"/>
      <c r="Y690" s="5"/>
    </row>
    <row r="691" spans="6:25" ht="15.75" customHeight="1" x14ac:dyDescent="0.3">
      <c r="F691" s="5"/>
      <c r="I691" s="6"/>
      <c r="K691" s="5"/>
      <c r="M691" s="5"/>
      <c r="O691" s="5"/>
      <c r="Q691" s="5"/>
      <c r="S691" s="5"/>
      <c r="U691" s="5"/>
      <c r="W691" s="5"/>
      <c r="Y691" s="5"/>
    </row>
    <row r="692" spans="6:25" ht="15.75" customHeight="1" x14ac:dyDescent="0.3">
      <c r="F692" s="5"/>
      <c r="I692" s="6"/>
      <c r="K692" s="5"/>
      <c r="M692" s="5"/>
      <c r="O692" s="5"/>
      <c r="Q692" s="5"/>
      <c r="S692" s="5"/>
      <c r="U692" s="5"/>
      <c r="W692" s="5"/>
      <c r="Y692" s="5"/>
    </row>
    <row r="693" spans="6:25" ht="15.75" customHeight="1" x14ac:dyDescent="0.3">
      <c r="F693" s="5"/>
      <c r="I693" s="6"/>
      <c r="K693" s="5"/>
      <c r="M693" s="5"/>
      <c r="O693" s="5"/>
      <c r="Q693" s="5"/>
      <c r="S693" s="5"/>
      <c r="U693" s="5"/>
      <c r="W693" s="5"/>
      <c r="Y693" s="5"/>
    </row>
    <row r="694" spans="6:25" ht="15.75" customHeight="1" x14ac:dyDescent="0.3">
      <c r="F694" s="5"/>
      <c r="I694" s="6"/>
      <c r="K694" s="5"/>
      <c r="M694" s="5"/>
      <c r="O694" s="5"/>
      <c r="Q694" s="5"/>
      <c r="S694" s="5"/>
      <c r="U694" s="5"/>
      <c r="W694" s="5"/>
      <c r="Y694" s="5"/>
    </row>
    <row r="695" spans="6:25" ht="15.75" customHeight="1" x14ac:dyDescent="0.3">
      <c r="F695" s="5"/>
      <c r="I695" s="6"/>
      <c r="K695" s="5"/>
      <c r="M695" s="5"/>
      <c r="O695" s="5"/>
      <c r="Q695" s="5"/>
      <c r="S695" s="5"/>
      <c r="U695" s="5"/>
      <c r="W695" s="5"/>
      <c r="Y695" s="5"/>
    </row>
    <row r="696" spans="6:25" ht="15.75" customHeight="1" x14ac:dyDescent="0.3">
      <c r="F696" s="5"/>
      <c r="I696" s="6"/>
      <c r="K696" s="5"/>
      <c r="M696" s="5"/>
      <c r="O696" s="5"/>
      <c r="Q696" s="5"/>
      <c r="S696" s="5"/>
      <c r="U696" s="5"/>
      <c r="W696" s="5"/>
      <c r="Y696" s="5"/>
    </row>
    <row r="697" spans="6:25" ht="15.75" customHeight="1" x14ac:dyDescent="0.3">
      <c r="F697" s="5"/>
      <c r="I697" s="6"/>
      <c r="K697" s="5"/>
      <c r="M697" s="5"/>
      <c r="O697" s="5"/>
      <c r="Q697" s="5"/>
      <c r="S697" s="5"/>
      <c r="U697" s="5"/>
      <c r="W697" s="5"/>
      <c r="Y697" s="5"/>
    </row>
    <row r="698" spans="6:25" ht="15.75" customHeight="1" x14ac:dyDescent="0.3">
      <c r="F698" s="5"/>
      <c r="I698" s="6"/>
      <c r="K698" s="5"/>
      <c r="M698" s="5"/>
      <c r="O698" s="5"/>
      <c r="Q698" s="5"/>
      <c r="S698" s="5"/>
      <c r="U698" s="5"/>
      <c r="W698" s="5"/>
      <c r="Y698" s="5"/>
    </row>
    <row r="699" spans="6:25" ht="15.75" customHeight="1" x14ac:dyDescent="0.3">
      <c r="F699" s="5"/>
      <c r="I699" s="6"/>
      <c r="K699" s="5"/>
      <c r="M699" s="5"/>
      <c r="O699" s="5"/>
      <c r="Q699" s="5"/>
      <c r="S699" s="5"/>
      <c r="U699" s="5"/>
      <c r="W699" s="5"/>
      <c r="Y699" s="5"/>
    </row>
    <row r="700" spans="6:25" ht="15.75" customHeight="1" x14ac:dyDescent="0.3">
      <c r="F700" s="5"/>
      <c r="I700" s="6"/>
      <c r="K700" s="5"/>
      <c r="M700" s="5"/>
      <c r="O700" s="5"/>
      <c r="Q700" s="5"/>
      <c r="S700" s="5"/>
      <c r="U700" s="5"/>
      <c r="W700" s="5"/>
      <c r="Y700" s="5"/>
    </row>
    <row r="701" spans="6:25" ht="15.75" customHeight="1" x14ac:dyDescent="0.3">
      <c r="F701" s="5"/>
      <c r="I701" s="6"/>
      <c r="K701" s="5"/>
      <c r="M701" s="5"/>
      <c r="O701" s="5"/>
      <c r="Q701" s="5"/>
      <c r="S701" s="5"/>
      <c r="U701" s="5"/>
      <c r="W701" s="5"/>
      <c r="Y701" s="5"/>
    </row>
    <row r="702" spans="6:25" ht="15.75" customHeight="1" x14ac:dyDescent="0.3">
      <c r="F702" s="5"/>
      <c r="I702" s="6"/>
      <c r="K702" s="5"/>
      <c r="M702" s="5"/>
      <c r="O702" s="5"/>
      <c r="Q702" s="5"/>
      <c r="S702" s="5"/>
      <c r="U702" s="5"/>
      <c r="W702" s="5"/>
      <c r="Y702" s="5"/>
    </row>
    <row r="703" spans="6:25" ht="15.75" customHeight="1" x14ac:dyDescent="0.3">
      <c r="F703" s="5"/>
      <c r="I703" s="6"/>
      <c r="K703" s="5"/>
      <c r="M703" s="5"/>
      <c r="O703" s="5"/>
      <c r="Q703" s="5"/>
      <c r="S703" s="5"/>
      <c r="U703" s="5"/>
      <c r="W703" s="5"/>
      <c r="Y703" s="5"/>
    </row>
    <row r="704" spans="6:25" ht="15.75" customHeight="1" x14ac:dyDescent="0.3">
      <c r="F704" s="5"/>
      <c r="I704" s="6"/>
      <c r="K704" s="5"/>
      <c r="M704" s="5"/>
      <c r="O704" s="5"/>
      <c r="Q704" s="5"/>
      <c r="S704" s="5"/>
      <c r="U704" s="5"/>
      <c r="W704" s="5"/>
      <c r="Y704" s="5"/>
    </row>
    <row r="705" spans="6:25" ht="15.75" customHeight="1" x14ac:dyDescent="0.3">
      <c r="F705" s="5"/>
      <c r="I705" s="6"/>
      <c r="K705" s="5"/>
      <c r="M705" s="5"/>
      <c r="O705" s="5"/>
      <c r="Q705" s="5"/>
      <c r="S705" s="5"/>
      <c r="U705" s="5"/>
      <c r="W705" s="5"/>
      <c r="Y705" s="5"/>
    </row>
    <row r="706" spans="6:25" ht="15.75" customHeight="1" x14ac:dyDescent="0.3">
      <c r="F706" s="5"/>
      <c r="I706" s="6"/>
      <c r="K706" s="5"/>
      <c r="M706" s="5"/>
      <c r="O706" s="5"/>
      <c r="Q706" s="5"/>
      <c r="S706" s="5"/>
      <c r="U706" s="5"/>
      <c r="W706" s="5"/>
      <c r="Y706" s="5"/>
    </row>
    <row r="707" spans="6:25" ht="15.75" customHeight="1" x14ac:dyDescent="0.3">
      <c r="F707" s="5"/>
      <c r="I707" s="6"/>
      <c r="K707" s="5"/>
      <c r="M707" s="5"/>
      <c r="O707" s="5"/>
      <c r="Q707" s="5"/>
      <c r="S707" s="5"/>
      <c r="U707" s="5"/>
      <c r="W707" s="5"/>
      <c r="Y707" s="5"/>
    </row>
    <row r="708" spans="6:25" ht="15.75" customHeight="1" x14ac:dyDescent="0.3">
      <c r="F708" s="5"/>
      <c r="I708" s="6"/>
      <c r="K708" s="5"/>
      <c r="M708" s="5"/>
      <c r="O708" s="5"/>
      <c r="Q708" s="5"/>
      <c r="S708" s="5"/>
      <c r="U708" s="5"/>
      <c r="W708" s="5"/>
      <c r="Y708" s="5"/>
    </row>
    <row r="709" spans="6:25" ht="15.75" customHeight="1" x14ac:dyDescent="0.3">
      <c r="F709" s="5"/>
      <c r="I709" s="6"/>
      <c r="K709" s="5"/>
      <c r="M709" s="5"/>
      <c r="O709" s="5"/>
      <c r="Q709" s="5"/>
      <c r="S709" s="5"/>
      <c r="U709" s="5"/>
      <c r="W709" s="5"/>
      <c r="Y709" s="5"/>
    </row>
    <row r="710" spans="6:25" ht="15.75" customHeight="1" x14ac:dyDescent="0.3">
      <c r="F710" s="5"/>
      <c r="I710" s="6"/>
      <c r="K710" s="5"/>
      <c r="M710" s="5"/>
      <c r="O710" s="5"/>
      <c r="Q710" s="5"/>
      <c r="S710" s="5"/>
      <c r="U710" s="5"/>
      <c r="W710" s="5"/>
      <c r="Y710" s="5"/>
    </row>
    <row r="711" spans="6:25" ht="15.75" customHeight="1" x14ac:dyDescent="0.3">
      <c r="F711" s="5"/>
      <c r="I711" s="6"/>
      <c r="K711" s="5"/>
      <c r="M711" s="5"/>
      <c r="O711" s="5"/>
      <c r="Q711" s="5"/>
      <c r="S711" s="5"/>
      <c r="U711" s="5"/>
      <c r="W711" s="5"/>
      <c r="Y711" s="5"/>
    </row>
    <row r="712" spans="6:25" ht="15.75" customHeight="1" x14ac:dyDescent="0.3">
      <c r="F712" s="5"/>
      <c r="I712" s="6"/>
      <c r="K712" s="5"/>
      <c r="M712" s="5"/>
      <c r="O712" s="5"/>
      <c r="Q712" s="5"/>
      <c r="S712" s="5"/>
      <c r="U712" s="5"/>
      <c r="W712" s="5"/>
      <c r="Y712" s="5"/>
    </row>
    <row r="713" spans="6:25" ht="15.75" customHeight="1" x14ac:dyDescent="0.3">
      <c r="F713" s="5"/>
      <c r="I713" s="6"/>
      <c r="K713" s="5"/>
      <c r="M713" s="5"/>
      <c r="O713" s="5"/>
      <c r="Q713" s="5"/>
      <c r="S713" s="5"/>
      <c r="U713" s="5"/>
      <c r="W713" s="5"/>
      <c r="Y713" s="5"/>
    </row>
    <row r="714" spans="6:25" ht="15.75" customHeight="1" x14ac:dyDescent="0.3">
      <c r="F714" s="5"/>
      <c r="I714" s="6"/>
      <c r="K714" s="5"/>
      <c r="M714" s="5"/>
      <c r="O714" s="5"/>
      <c r="Q714" s="5"/>
      <c r="S714" s="5"/>
      <c r="U714" s="5"/>
      <c r="W714" s="5"/>
      <c r="Y714" s="5"/>
    </row>
    <row r="715" spans="6:25" ht="15.75" customHeight="1" x14ac:dyDescent="0.3">
      <c r="F715" s="5"/>
      <c r="I715" s="6"/>
      <c r="K715" s="5"/>
      <c r="M715" s="5"/>
      <c r="O715" s="5"/>
      <c r="Q715" s="5"/>
      <c r="S715" s="5"/>
      <c r="U715" s="5"/>
      <c r="W715" s="5"/>
      <c r="Y715" s="5"/>
    </row>
    <row r="716" spans="6:25" ht="15.75" customHeight="1" x14ac:dyDescent="0.3">
      <c r="F716" s="5"/>
      <c r="I716" s="6"/>
      <c r="K716" s="5"/>
      <c r="M716" s="5"/>
      <c r="O716" s="5"/>
      <c r="Q716" s="5"/>
      <c r="S716" s="5"/>
      <c r="U716" s="5"/>
      <c r="W716" s="5"/>
      <c r="Y716" s="5"/>
    </row>
    <row r="717" spans="6:25" ht="15.75" customHeight="1" x14ac:dyDescent="0.3">
      <c r="F717" s="5"/>
      <c r="I717" s="6"/>
      <c r="K717" s="5"/>
      <c r="M717" s="5"/>
      <c r="O717" s="5"/>
      <c r="Q717" s="5"/>
      <c r="S717" s="5"/>
      <c r="U717" s="5"/>
      <c r="W717" s="5"/>
      <c r="Y717" s="5"/>
    </row>
    <row r="718" spans="6:25" ht="15.75" customHeight="1" x14ac:dyDescent="0.3">
      <c r="F718" s="5"/>
      <c r="I718" s="6"/>
      <c r="K718" s="5"/>
      <c r="M718" s="5"/>
      <c r="O718" s="5"/>
      <c r="Q718" s="5"/>
      <c r="S718" s="5"/>
      <c r="U718" s="5"/>
      <c r="W718" s="5"/>
      <c r="Y718" s="5"/>
    </row>
    <row r="719" spans="6:25" ht="15.75" customHeight="1" x14ac:dyDescent="0.3">
      <c r="F719" s="5"/>
      <c r="I719" s="6"/>
      <c r="K719" s="5"/>
      <c r="M719" s="5"/>
      <c r="O719" s="5"/>
      <c r="Q719" s="5"/>
      <c r="S719" s="5"/>
      <c r="U719" s="5"/>
      <c r="W719" s="5"/>
      <c r="Y719" s="5"/>
    </row>
    <row r="720" spans="6:25" ht="15.75" customHeight="1" x14ac:dyDescent="0.3">
      <c r="F720" s="5"/>
      <c r="I720" s="6"/>
      <c r="K720" s="5"/>
      <c r="M720" s="5"/>
      <c r="O720" s="5"/>
      <c r="Q720" s="5"/>
      <c r="S720" s="5"/>
      <c r="U720" s="5"/>
      <c r="W720" s="5"/>
      <c r="Y720" s="5"/>
    </row>
    <row r="721" spans="6:25" ht="15.75" customHeight="1" x14ac:dyDescent="0.3">
      <c r="F721" s="5"/>
      <c r="I721" s="6"/>
      <c r="K721" s="5"/>
      <c r="M721" s="5"/>
      <c r="O721" s="5"/>
      <c r="Q721" s="5"/>
      <c r="S721" s="5"/>
      <c r="U721" s="5"/>
      <c r="W721" s="5"/>
      <c r="Y721" s="5"/>
    </row>
    <row r="722" spans="6:25" ht="15.75" customHeight="1" x14ac:dyDescent="0.3">
      <c r="F722" s="5"/>
      <c r="I722" s="6"/>
      <c r="K722" s="5"/>
      <c r="M722" s="5"/>
      <c r="O722" s="5"/>
      <c r="Q722" s="5"/>
      <c r="S722" s="5"/>
      <c r="U722" s="5"/>
      <c r="W722" s="5"/>
      <c r="Y722" s="5"/>
    </row>
    <row r="723" spans="6:25" ht="15.75" customHeight="1" x14ac:dyDescent="0.3">
      <c r="F723" s="5"/>
      <c r="I723" s="6"/>
      <c r="K723" s="5"/>
      <c r="M723" s="5"/>
      <c r="O723" s="5"/>
      <c r="Q723" s="5"/>
      <c r="S723" s="5"/>
      <c r="U723" s="5"/>
      <c r="W723" s="5"/>
      <c r="Y723" s="5"/>
    </row>
    <row r="724" spans="6:25" ht="15.75" customHeight="1" x14ac:dyDescent="0.3">
      <c r="F724" s="5"/>
      <c r="I724" s="6"/>
      <c r="K724" s="5"/>
      <c r="M724" s="5"/>
      <c r="O724" s="5"/>
      <c r="Q724" s="5"/>
      <c r="S724" s="5"/>
      <c r="U724" s="5"/>
      <c r="W724" s="5"/>
      <c r="Y724" s="5"/>
    </row>
    <row r="725" spans="6:25" ht="15.75" customHeight="1" x14ac:dyDescent="0.3">
      <c r="F725" s="5"/>
      <c r="I725" s="6"/>
      <c r="K725" s="5"/>
      <c r="M725" s="5"/>
      <c r="O725" s="5"/>
      <c r="Q725" s="5"/>
      <c r="S725" s="5"/>
      <c r="U725" s="5"/>
      <c r="W725" s="5"/>
      <c r="Y725" s="5"/>
    </row>
    <row r="726" spans="6:25" ht="15.75" customHeight="1" x14ac:dyDescent="0.3">
      <c r="F726" s="5"/>
      <c r="I726" s="6"/>
      <c r="K726" s="5"/>
      <c r="M726" s="5"/>
      <c r="O726" s="5"/>
      <c r="Q726" s="5"/>
      <c r="S726" s="5"/>
      <c r="U726" s="5"/>
      <c r="W726" s="5"/>
      <c r="Y726" s="5"/>
    </row>
    <row r="727" spans="6:25" ht="15.75" customHeight="1" x14ac:dyDescent="0.3">
      <c r="F727" s="5"/>
      <c r="I727" s="6"/>
      <c r="K727" s="5"/>
      <c r="M727" s="5"/>
      <c r="O727" s="5"/>
      <c r="Q727" s="5"/>
      <c r="S727" s="5"/>
      <c r="U727" s="5"/>
      <c r="W727" s="5"/>
      <c r="Y727" s="5"/>
    </row>
    <row r="728" spans="6:25" ht="15.75" customHeight="1" x14ac:dyDescent="0.3">
      <c r="F728" s="5"/>
      <c r="I728" s="6"/>
      <c r="K728" s="5"/>
      <c r="M728" s="5"/>
      <c r="O728" s="5"/>
      <c r="Q728" s="5"/>
      <c r="S728" s="5"/>
      <c r="U728" s="5"/>
      <c r="W728" s="5"/>
      <c r="Y728" s="5"/>
    </row>
    <row r="729" spans="6:25" ht="15.75" customHeight="1" x14ac:dyDescent="0.3">
      <c r="F729" s="5"/>
      <c r="I729" s="6"/>
      <c r="K729" s="5"/>
      <c r="M729" s="5"/>
      <c r="O729" s="5"/>
      <c r="Q729" s="5"/>
      <c r="S729" s="5"/>
      <c r="U729" s="5"/>
      <c r="W729" s="5"/>
      <c r="Y729" s="5"/>
    </row>
    <row r="730" spans="6:25" ht="15.75" customHeight="1" x14ac:dyDescent="0.3">
      <c r="F730" s="5"/>
      <c r="I730" s="6"/>
      <c r="K730" s="5"/>
      <c r="M730" s="5"/>
      <c r="O730" s="5"/>
      <c r="Q730" s="5"/>
      <c r="S730" s="5"/>
      <c r="U730" s="5"/>
      <c r="W730" s="5"/>
      <c r="Y730" s="5"/>
    </row>
    <row r="731" spans="6:25" ht="15.75" customHeight="1" x14ac:dyDescent="0.3">
      <c r="F731" s="5"/>
      <c r="I731" s="6"/>
      <c r="K731" s="5"/>
      <c r="M731" s="5"/>
      <c r="O731" s="5"/>
      <c r="Q731" s="5"/>
      <c r="S731" s="5"/>
      <c r="U731" s="5"/>
      <c r="W731" s="5"/>
      <c r="Y731" s="5"/>
    </row>
    <row r="732" spans="6:25" ht="15.75" customHeight="1" x14ac:dyDescent="0.3">
      <c r="F732" s="5"/>
      <c r="I732" s="6"/>
      <c r="K732" s="5"/>
      <c r="M732" s="5"/>
      <c r="O732" s="5"/>
      <c r="Q732" s="5"/>
      <c r="S732" s="5"/>
      <c r="U732" s="5"/>
      <c r="W732" s="5"/>
      <c r="Y732" s="5"/>
    </row>
    <row r="733" spans="6:25" ht="15.75" customHeight="1" x14ac:dyDescent="0.3">
      <c r="F733" s="5"/>
      <c r="I733" s="6"/>
      <c r="K733" s="5"/>
      <c r="M733" s="5"/>
      <c r="O733" s="5"/>
      <c r="Q733" s="5"/>
      <c r="S733" s="5"/>
      <c r="U733" s="5"/>
      <c r="W733" s="5"/>
      <c r="Y733" s="5"/>
    </row>
    <row r="734" spans="6:25" ht="15.75" customHeight="1" x14ac:dyDescent="0.3">
      <c r="F734" s="5"/>
      <c r="I734" s="6"/>
      <c r="K734" s="5"/>
      <c r="M734" s="5"/>
      <c r="O734" s="5"/>
      <c r="Q734" s="5"/>
      <c r="S734" s="5"/>
      <c r="U734" s="5"/>
      <c r="W734" s="5"/>
      <c r="Y734" s="5"/>
    </row>
    <row r="735" spans="6:25" ht="15.75" customHeight="1" x14ac:dyDescent="0.3">
      <c r="F735" s="5"/>
      <c r="I735" s="6"/>
      <c r="K735" s="5"/>
      <c r="M735" s="5"/>
      <c r="O735" s="5"/>
      <c r="Q735" s="5"/>
      <c r="S735" s="5"/>
      <c r="U735" s="5"/>
      <c r="W735" s="5"/>
      <c r="Y735" s="5"/>
    </row>
    <row r="736" spans="6:25" ht="15.75" customHeight="1" x14ac:dyDescent="0.3">
      <c r="F736" s="5"/>
      <c r="I736" s="6"/>
      <c r="K736" s="5"/>
      <c r="M736" s="5"/>
      <c r="O736" s="5"/>
      <c r="Q736" s="5"/>
      <c r="S736" s="5"/>
      <c r="U736" s="5"/>
      <c r="W736" s="5"/>
      <c r="Y736" s="5"/>
    </row>
    <row r="737" spans="6:25" ht="15.75" customHeight="1" x14ac:dyDescent="0.3">
      <c r="F737" s="5"/>
      <c r="I737" s="6"/>
      <c r="K737" s="5"/>
      <c r="M737" s="5"/>
      <c r="O737" s="5"/>
      <c r="Q737" s="5"/>
      <c r="S737" s="5"/>
      <c r="U737" s="5"/>
      <c r="W737" s="5"/>
      <c r="Y737" s="5"/>
    </row>
    <row r="738" spans="6:25" ht="15.75" customHeight="1" x14ac:dyDescent="0.3">
      <c r="F738" s="5"/>
      <c r="I738" s="6"/>
      <c r="K738" s="5"/>
      <c r="M738" s="5"/>
      <c r="O738" s="5"/>
      <c r="Q738" s="5"/>
      <c r="S738" s="5"/>
      <c r="U738" s="5"/>
      <c r="W738" s="5"/>
      <c r="Y738" s="5"/>
    </row>
    <row r="739" spans="6:25" ht="15.75" customHeight="1" x14ac:dyDescent="0.3">
      <c r="F739" s="5"/>
      <c r="I739" s="6"/>
      <c r="K739" s="5"/>
      <c r="M739" s="5"/>
      <c r="O739" s="5"/>
      <c r="Q739" s="5"/>
      <c r="S739" s="5"/>
      <c r="U739" s="5"/>
      <c r="W739" s="5"/>
      <c r="Y739" s="5"/>
    </row>
    <row r="740" spans="6:25" ht="15.75" customHeight="1" x14ac:dyDescent="0.3">
      <c r="F740" s="5"/>
      <c r="I740" s="6"/>
      <c r="K740" s="5"/>
      <c r="M740" s="5"/>
      <c r="O740" s="5"/>
      <c r="Q740" s="5"/>
      <c r="S740" s="5"/>
      <c r="U740" s="5"/>
      <c r="W740" s="5"/>
      <c r="Y740" s="5"/>
    </row>
    <row r="741" spans="6:25" ht="15.75" customHeight="1" x14ac:dyDescent="0.3">
      <c r="F741" s="5"/>
      <c r="I741" s="6"/>
      <c r="K741" s="5"/>
      <c r="M741" s="5"/>
      <c r="O741" s="5"/>
      <c r="Q741" s="5"/>
      <c r="S741" s="5"/>
      <c r="U741" s="5"/>
      <c r="W741" s="5"/>
      <c r="Y741" s="5"/>
    </row>
    <row r="742" spans="6:25" ht="15.75" customHeight="1" x14ac:dyDescent="0.3">
      <c r="F742" s="5"/>
      <c r="I742" s="6"/>
      <c r="K742" s="5"/>
      <c r="M742" s="5"/>
      <c r="O742" s="5"/>
      <c r="Q742" s="5"/>
      <c r="S742" s="5"/>
      <c r="U742" s="5"/>
      <c r="W742" s="5"/>
      <c r="Y742" s="5"/>
    </row>
    <row r="743" spans="6:25" ht="15.75" customHeight="1" x14ac:dyDescent="0.3">
      <c r="F743" s="5"/>
      <c r="I743" s="6"/>
      <c r="K743" s="5"/>
      <c r="M743" s="5"/>
      <c r="O743" s="5"/>
      <c r="Q743" s="5"/>
      <c r="S743" s="5"/>
      <c r="U743" s="5"/>
      <c r="W743" s="5"/>
      <c r="Y743" s="5"/>
    </row>
    <row r="744" spans="6:25" ht="15.75" customHeight="1" x14ac:dyDescent="0.3">
      <c r="F744" s="5"/>
      <c r="I744" s="6"/>
      <c r="K744" s="5"/>
      <c r="M744" s="5"/>
      <c r="O744" s="5"/>
      <c r="Q744" s="5"/>
      <c r="S744" s="5"/>
      <c r="U744" s="5"/>
      <c r="W744" s="5"/>
      <c r="Y744" s="5"/>
    </row>
    <row r="745" spans="6:25" ht="15.75" customHeight="1" x14ac:dyDescent="0.3">
      <c r="F745" s="5"/>
      <c r="I745" s="6"/>
      <c r="K745" s="5"/>
      <c r="M745" s="5"/>
      <c r="O745" s="5"/>
      <c r="Q745" s="5"/>
      <c r="S745" s="5"/>
      <c r="U745" s="5"/>
      <c r="W745" s="5"/>
      <c r="Y745" s="5"/>
    </row>
    <row r="746" spans="6:25" ht="15.75" customHeight="1" x14ac:dyDescent="0.3">
      <c r="F746" s="5"/>
      <c r="I746" s="6"/>
      <c r="K746" s="5"/>
      <c r="M746" s="5"/>
      <c r="O746" s="5"/>
      <c r="Q746" s="5"/>
      <c r="S746" s="5"/>
      <c r="U746" s="5"/>
      <c r="W746" s="5"/>
      <c r="Y746" s="5"/>
    </row>
    <row r="747" spans="6:25" ht="15.75" customHeight="1" x14ac:dyDescent="0.3">
      <c r="F747" s="5"/>
      <c r="I747" s="6"/>
      <c r="K747" s="5"/>
      <c r="M747" s="5"/>
      <c r="O747" s="5"/>
      <c r="Q747" s="5"/>
      <c r="S747" s="5"/>
      <c r="U747" s="5"/>
      <c r="W747" s="5"/>
      <c r="Y747" s="5"/>
    </row>
    <row r="748" spans="6:25" ht="15.75" customHeight="1" x14ac:dyDescent="0.3">
      <c r="F748" s="5"/>
      <c r="I748" s="6"/>
      <c r="K748" s="5"/>
      <c r="M748" s="5"/>
      <c r="O748" s="5"/>
      <c r="Q748" s="5"/>
      <c r="S748" s="5"/>
      <c r="U748" s="5"/>
      <c r="W748" s="5"/>
      <c r="Y748" s="5"/>
    </row>
    <row r="749" spans="6:25" ht="15.75" customHeight="1" x14ac:dyDescent="0.3">
      <c r="F749" s="5"/>
      <c r="I749" s="6"/>
      <c r="K749" s="5"/>
      <c r="M749" s="5"/>
      <c r="O749" s="5"/>
      <c r="Q749" s="5"/>
      <c r="S749" s="5"/>
      <c r="U749" s="5"/>
      <c r="W749" s="5"/>
      <c r="Y749" s="5"/>
    </row>
    <row r="750" spans="6:25" ht="15.75" customHeight="1" x14ac:dyDescent="0.3">
      <c r="F750" s="5"/>
      <c r="I750" s="6"/>
      <c r="K750" s="5"/>
      <c r="M750" s="5"/>
      <c r="O750" s="5"/>
      <c r="Q750" s="5"/>
      <c r="S750" s="5"/>
      <c r="U750" s="5"/>
      <c r="W750" s="5"/>
      <c r="Y750" s="5"/>
    </row>
    <row r="751" spans="6:25" ht="15.75" customHeight="1" x14ac:dyDescent="0.3">
      <c r="F751" s="5"/>
      <c r="I751" s="6"/>
      <c r="K751" s="5"/>
      <c r="M751" s="5"/>
      <c r="O751" s="5"/>
      <c r="Q751" s="5"/>
      <c r="S751" s="5"/>
      <c r="U751" s="5"/>
      <c r="W751" s="5"/>
      <c r="Y751" s="5"/>
    </row>
    <row r="752" spans="6:25" ht="15.75" customHeight="1" x14ac:dyDescent="0.3">
      <c r="F752" s="5"/>
      <c r="I752" s="6"/>
      <c r="K752" s="5"/>
      <c r="M752" s="5"/>
      <c r="O752" s="5"/>
      <c r="Q752" s="5"/>
      <c r="S752" s="5"/>
      <c r="U752" s="5"/>
      <c r="W752" s="5"/>
      <c r="Y752" s="5"/>
    </row>
    <row r="753" spans="6:25" ht="15.75" customHeight="1" x14ac:dyDescent="0.3">
      <c r="F753" s="5"/>
      <c r="I753" s="6"/>
      <c r="K753" s="5"/>
      <c r="M753" s="5"/>
      <c r="O753" s="5"/>
      <c r="Q753" s="5"/>
      <c r="S753" s="5"/>
      <c r="U753" s="5"/>
      <c r="W753" s="5"/>
      <c r="Y753" s="5"/>
    </row>
    <row r="754" spans="6:25" ht="15.75" customHeight="1" x14ac:dyDescent="0.3">
      <c r="F754" s="5"/>
      <c r="I754" s="6"/>
      <c r="K754" s="5"/>
      <c r="M754" s="5"/>
      <c r="O754" s="5"/>
      <c r="Q754" s="5"/>
      <c r="S754" s="5"/>
      <c r="U754" s="5"/>
      <c r="W754" s="5"/>
      <c r="Y754" s="5"/>
    </row>
    <row r="755" spans="6:25" ht="15.75" customHeight="1" x14ac:dyDescent="0.3">
      <c r="F755" s="5"/>
      <c r="I755" s="6"/>
      <c r="K755" s="5"/>
      <c r="M755" s="5"/>
      <c r="O755" s="5"/>
      <c r="Q755" s="5"/>
      <c r="S755" s="5"/>
      <c r="U755" s="5"/>
      <c r="W755" s="5"/>
      <c r="Y755" s="5"/>
    </row>
    <row r="756" spans="6:25" ht="15.75" customHeight="1" x14ac:dyDescent="0.3">
      <c r="F756" s="5"/>
      <c r="I756" s="6"/>
      <c r="K756" s="5"/>
      <c r="M756" s="5"/>
      <c r="O756" s="5"/>
      <c r="Q756" s="5"/>
      <c r="S756" s="5"/>
      <c r="U756" s="5"/>
      <c r="W756" s="5"/>
      <c r="Y756" s="5"/>
    </row>
    <row r="757" spans="6:25" ht="15.75" customHeight="1" x14ac:dyDescent="0.3">
      <c r="F757" s="5"/>
      <c r="I757" s="6"/>
      <c r="K757" s="5"/>
      <c r="M757" s="5"/>
      <c r="O757" s="5"/>
      <c r="Q757" s="5"/>
      <c r="S757" s="5"/>
      <c r="U757" s="5"/>
      <c r="W757" s="5"/>
      <c r="Y757" s="5"/>
    </row>
    <row r="758" spans="6:25" ht="15.75" customHeight="1" x14ac:dyDescent="0.3">
      <c r="F758" s="5"/>
      <c r="I758" s="6"/>
      <c r="K758" s="5"/>
      <c r="M758" s="5"/>
      <c r="O758" s="5"/>
      <c r="Q758" s="5"/>
      <c r="S758" s="5"/>
      <c r="U758" s="5"/>
      <c r="W758" s="5"/>
      <c r="Y758" s="5"/>
    </row>
    <row r="759" spans="6:25" ht="15.75" customHeight="1" x14ac:dyDescent="0.3">
      <c r="F759" s="5"/>
      <c r="I759" s="6"/>
      <c r="K759" s="5"/>
      <c r="M759" s="5"/>
      <c r="O759" s="5"/>
      <c r="Q759" s="5"/>
      <c r="S759" s="5"/>
      <c r="U759" s="5"/>
      <c r="W759" s="5"/>
      <c r="Y759" s="5"/>
    </row>
    <row r="760" spans="6:25" ht="15.75" customHeight="1" x14ac:dyDescent="0.3">
      <c r="F760" s="5"/>
      <c r="I760" s="6"/>
      <c r="K760" s="5"/>
      <c r="M760" s="5"/>
      <c r="O760" s="5"/>
      <c r="Q760" s="5"/>
      <c r="S760" s="5"/>
      <c r="U760" s="5"/>
      <c r="W760" s="5"/>
      <c r="Y760" s="5"/>
    </row>
    <row r="761" spans="6:25" ht="15.75" customHeight="1" x14ac:dyDescent="0.3">
      <c r="F761" s="5"/>
      <c r="I761" s="6"/>
      <c r="K761" s="5"/>
      <c r="M761" s="5"/>
      <c r="O761" s="5"/>
      <c r="Q761" s="5"/>
      <c r="S761" s="5"/>
      <c r="U761" s="5"/>
      <c r="W761" s="5"/>
      <c r="Y761" s="5"/>
    </row>
    <row r="762" spans="6:25" ht="15.75" customHeight="1" x14ac:dyDescent="0.3">
      <c r="F762" s="5"/>
      <c r="I762" s="6"/>
      <c r="K762" s="5"/>
      <c r="M762" s="5"/>
      <c r="O762" s="5"/>
      <c r="Q762" s="5"/>
      <c r="S762" s="5"/>
      <c r="U762" s="5"/>
      <c r="W762" s="5"/>
      <c r="Y762" s="5"/>
    </row>
    <row r="763" spans="6:25" ht="15.75" customHeight="1" x14ac:dyDescent="0.3">
      <c r="F763" s="5"/>
      <c r="I763" s="6"/>
      <c r="K763" s="5"/>
      <c r="M763" s="5"/>
      <c r="O763" s="5"/>
      <c r="Q763" s="5"/>
      <c r="S763" s="5"/>
      <c r="U763" s="5"/>
      <c r="W763" s="5"/>
      <c r="Y763" s="5"/>
    </row>
    <row r="764" spans="6:25" ht="15.75" customHeight="1" x14ac:dyDescent="0.3">
      <c r="F764" s="5"/>
      <c r="I764" s="6"/>
      <c r="K764" s="5"/>
      <c r="M764" s="5"/>
      <c r="O764" s="5"/>
      <c r="Q764" s="5"/>
      <c r="S764" s="5"/>
      <c r="U764" s="5"/>
      <c r="W764" s="5"/>
      <c r="Y764" s="5"/>
    </row>
    <row r="765" spans="6:25" ht="15.75" customHeight="1" x14ac:dyDescent="0.3">
      <c r="F765" s="5"/>
      <c r="I765" s="6"/>
      <c r="K765" s="5"/>
      <c r="M765" s="5"/>
      <c r="O765" s="5"/>
      <c r="Q765" s="5"/>
      <c r="S765" s="5"/>
      <c r="U765" s="5"/>
      <c r="W765" s="5"/>
      <c r="Y765" s="5"/>
    </row>
    <row r="766" spans="6:25" ht="15.75" customHeight="1" x14ac:dyDescent="0.3">
      <c r="F766" s="5"/>
      <c r="I766" s="6"/>
      <c r="K766" s="5"/>
      <c r="M766" s="5"/>
      <c r="O766" s="5"/>
      <c r="Q766" s="5"/>
      <c r="S766" s="5"/>
      <c r="U766" s="5"/>
      <c r="W766" s="5"/>
      <c r="Y766" s="5"/>
    </row>
    <row r="767" spans="6:25" ht="15.75" customHeight="1" x14ac:dyDescent="0.3">
      <c r="F767" s="5"/>
      <c r="I767" s="6"/>
      <c r="K767" s="5"/>
      <c r="M767" s="5"/>
      <c r="O767" s="5"/>
      <c r="Q767" s="5"/>
      <c r="S767" s="5"/>
      <c r="U767" s="5"/>
      <c r="W767" s="5"/>
      <c r="Y767" s="5"/>
    </row>
    <row r="768" spans="6:25" ht="15.75" customHeight="1" x14ac:dyDescent="0.3">
      <c r="F768" s="5"/>
      <c r="I768" s="6"/>
      <c r="K768" s="5"/>
      <c r="M768" s="5"/>
      <c r="O768" s="5"/>
      <c r="Q768" s="5"/>
      <c r="S768" s="5"/>
      <c r="U768" s="5"/>
      <c r="W768" s="5"/>
      <c r="Y768" s="5"/>
    </row>
    <row r="769" spans="6:25" ht="15.75" customHeight="1" x14ac:dyDescent="0.3">
      <c r="F769" s="5"/>
      <c r="I769" s="6"/>
      <c r="K769" s="5"/>
      <c r="M769" s="5"/>
      <c r="O769" s="5"/>
      <c r="Q769" s="5"/>
      <c r="S769" s="5"/>
      <c r="U769" s="5"/>
      <c r="W769" s="5"/>
      <c r="Y769" s="5"/>
    </row>
    <row r="770" spans="6:25" ht="15.75" customHeight="1" x14ac:dyDescent="0.3">
      <c r="F770" s="5"/>
      <c r="I770" s="6"/>
      <c r="K770" s="5"/>
      <c r="M770" s="5"/>
      <c r="O770" s="5"/>
      <c r="Q770" s="5"/>
      <c r="S770" s="5"/>
      <c r="U770" s="5"/>
      <c r="W770" s="5"/>
      <c r="Y770" s="5"/>
    </row>
    <row r="771" spans="6:25" ht="15.75" customHeight="1" x14ac:dyDescent="0.3">
      <c r="F771" s="5"/>
      <c r="I771" s="6"/>
      <c r="K771" s="5"/>
      <c r="M771" s="5"/>
      <c r="O771" s="5"/>
      <c r="Q771" s="5"/>
      <c r="S771" s="5"/>
      <c r="U771" s="5"/>
      <c r="W771" s="5"/>
      <c r="Y771" s="5"/>
    </row>
    <row r="772" spans="6:25" ht="15.75" customHeight="1" x14ac:dyDescent="0.3">
      <c r="F772" s="5"/>
      <c r="I772" s="6"/>
      <c r="K772" s="5"/>
      <c r="M772" s="5"/>
      <c r="O772" s="5"/>
      <c r="Q772" s="5"/>
      <c r="S772" s="5"/>
      <c r="U772" s="5"/>
      <c r="W772" s="5"/>
      <c r="Y772" s="5"/>
    </row>
    <row r="773" spans="6:25" ht="15.75" customHeight="1" x14ac:dyDescent="0.3">
      <c r="F773" s="5"/>
      <c r="I773" s="6"/>
      <c r="K773" s="5"/>
      <c r="M773" s="5"/>
      <c r="O773" s="5"/>
      <c r="Q773" s="5"/>
      <c r="S773" s="5"/>
      <c r="U773" s="5"/>
      <c r="W773" s="5"/>
      <c r="Y773" s="5"/>
    </row>
    <row r="774" spans="6:25" ht="15.75" customHeight="1" x14ac:dyDescent="0.3">
      <c r="F774" s="5"/>
      <c r="I774" s="6"/>
      <c r="K774" s="5"/>
      <c r="M774" s="5"/>
      <c r="O774" s="5"/>
      <c r="Q774" s="5"/>
      <c r="S774" s="5"/>
      <c r="U774" s="5"/>
      <c r="W774" s="5"/>
      <c r="Y774" s="5"/>
    </row>
    <row r="775" spans="6:25" ht="15.75" customHeight="1" x14ac:dyDescent="0.3">
      <c r="F775" s="5"/>
      <c r="I775" s="6"/>
      <c r="K775" s="5"/>
      <c r="M775" s="5"/>
      <c r="O775" s="5"/>
      <c r="Q775" s="5"/>
      <c r="S775" s="5"/>
      <c r="U775" s="5"/>
      <c r="W775" s="5"/>
      <c r="Y775" s="5"/>
    </row>
    <row r="776" spans="6:25" ht="15.75" customHeight="1" x14ac:dyDescent="0.3">
      <c r="F776" s="5"/>
      <c r="I776" s="6"/>
      <c r="K776" s="5"/>
      <c r="M776" s="5"/>
      <c r="O776" s="5"/>
      <c r="Q776" s="5"/>
      <c r="S776" s="5"/>
      <c r="U776" s="5"/>
      <c r="W776" s="5"/>
      <c r="Y776" s="5"/>
    </row>
    <row r="777" spans="6:25" ht="15.75" customHeight="1" x14ac:dyDescent="0.3">
      <c r="F777" s="5"/>
      <c r="I777" s="6"/>
      <c r="K777" s="5"/>
      <c r="M777" s="5"/>
      <c r="O777" s="5"/>
      <c r="Q777" s="5"/>
      <c r="S777" s="5"/>
      <c r="U777" s="5"/>
      <c r="W777" s="5"/>
      <c r="Y777" s="5"/>
    </row>
    <row r="778" spans="6:25" ht="15.75" customHeight="1" x14ac:dyDescent="0.3">
      <c r="F778" s="5"/>
      <c r="I778" s="6"/>
      <c r="K778" s="5"/>
      <c r="M778" s="5"/>
      <c r="O778" s="5"/>
      <c r="Q778" s="5"/>
      <c r="S778" s="5"/>
      <c r="U778" s="5"/>
      <c r="W778" s="5"/>
      <c r="Y778" s="5"/>
    </row>
    <row r="779" spans="6:25" ht="15.75" customHeight="1" x14ac:dyDescent="0.3">
      <c r="F779" s="5"/>
      <c r="I779" s="6"/>
      <c r="K779" s="5"/>
      <c r="M779" s="5"/>
      <c r="O779" s="5"/>
      <c r="Q779" s="5"/>
      <c r="S779" s="5"/>
      <c r="U779" s="5"/>
      <c r="W779" s="5"/>
      <c r="Y779" s="5"/>
    </row>
    <row r="780" spans="6:25" ht="15.75" customHeight="1" x14ac:dyDescent="0.3">
      <c r="F780" s="5"/>
      <c r="I780" s="6"/>
      <c r="K780" s="5"/>
      <c r="M780" s="5"/>
      <c r="O780" s="5"/>
      <c r="Q780" s="5"/>
      <c r="S780" s="5"/>
      <c r="U780" s="5"/>
      <c r="W780" s="5"/>
      <c r="Y780" s="5"/>
    </row>
    <row r="781" spans="6:25" ht="15.75" customHeight="1" x14ac:dyDescent="0.3">
      <c r="F781" s="5"/>
      <c r="I781" s="6"/>
      <c r="K781" s="5"/>
      <c r="M781" s="5"/>
      <c r="O781" s="5"/>
      <c r="Q781" s="5"/>
      <c r="S781" s="5"/>
      <c r="U781" s="5"/>
      <c r="W781" s="5"/>
      <c r="Y781" s="5"/>
    </row>
    <row r="782" spans="6:25" ht="15.75" customHeight="1" x14ac:dyDescent="0.3">
      <c r="F782" s="5"/>
      <c r="I782" s="6"/>
      <c r="K782" s="5"/>
      <c r="M782" s="5"/>
      <c r="O782" s="5"/>
      <c r="Q782" s="5"/>
      <c r="S782" s="5"/>
      <c r="U782" s="5"/>
      <c r="W782" s="5"/>
      <c r="Y782" s="5"/>
    </row>
    <row r="783" spans="6:25" ht="15.75" customHeight="1" x14ac:dyDescent="0.3">
      <c r="F783" s="5"/>
      <c r="I783" s="6"/>
      <c r="K783" s="5"/>
      <c r="M783" s="5"/>
      <c r="O783" s="5"/>
      <c r="Q783" s="5"/>
      <c r="S783" s="5"/>
      <c r="U783" s="5"/>
      <c r="W783" s="5"/>
      <c r="Y783" s="5"/>
    </row>
    <row r="784" spans="6:25" ht="15.75" customHeight="1" x14ac:dyDescent="0.3">
      <c r="F784" s="5"/>
      <c r="I784" s="6"/>
      <c r="K784" s="5"/>
      <c r="M784" s="5"/>
      <c r="O784" s="5"/>
      <c r="Q784" s="5"/>
      <c r="S784" s="5"/>
      <c r="U784" s="5"/>
      <c r="W784" s="5"/>
      <c r="Y784" s="5"/>
    </row>
    <row r="785" spans="6:25" ht="15.75" customHeight="1" x14ac:dyDescent="0.3">
      <c r="F785" s="5"/>
      <c r="I785" s="6"/>
      <c r="K785" s="5"/>
      <c r="M785" s="5"/>
      <c r="O785" s="5"/>
      <c r="Q785" s="5"/>
      <c r="S785" s="5"/>
      <c r="U785" s="5"/>
      <c r="W785" s="5"/>
      <c r="Y785" s="5"/>
    </row>
    <row r="786" spans="6:25" ht="15.75" customHeight="1" x14ac:dyDescent="0.3">
      <c r="F786" s="5"/>
      <c r="I786" s="6"/>
      <c r="K786" s="5"/>
      <c r="M786" s="5"/>
      <c r="O786" s="5"/>
      <c r="Q786" s="5"/>
      <c r="S786" s="5"/>
      <c r="U786" s="5"/>
      <c r="W786" s="5"/>
      <c r="Y786" s="5"/>
    </row>
    <row r="787" spans="6:25" ht="15.75" customHeight="1" x14ac:dyDescent="0.3">
      <c r="F787" s="5"/>
      <c r="I787" s="6"/>
      <c r="K787" s="5"/>
      <c r="M787" s="5"/>
      <c r="O787" s="5"/>
      <c r="Q787" s="5"/>
      <c r="S787" s="5"/>
      <c r="U787" s="5"/>
      <c r="W787" s="5"/>
      <c r="Y787" s="5"/>
    </row>
    <row r="788" spans="6:25" ht="15.75" customHeight="1" x14ac:dyDescent="0.3">
      <c r="F788" s="5"/>
      <c r="I788" s="6"/>
      <c r="K788" s="5"/>
      <c r="M788" s="5"/>
      <c r="O788" s="5"/>
      <c r="Q788" s="5"/>
      <c r="S788" s="5"/>
      <c r="U788" s="5"/>
      <c r="W788" s="5"/>
      <c r="Y788" s="5"/>
    </row>
    <row r="789" spans="6:25" ht="15.75" customHeight="1" x14ac:dyDescent="0.3">
      <c r="F789" s="5"/>
      <c r="I789" s="6"/>
      <c r="K789" s="5"/>
      <c r="M789" s="5"/>
      <c r="O789" s="5"/>
      <c r="Q789" s="5"/>
      <c r="S789" s="5"/>
      <c r="U789" s="5"/>
      <c r="W789" s="5"/>
      <c r="Y789" s="5"/>
    </row>
    <row r="790" spans="6:25" ht="15.75" customHeight="1" x14ac:dyDescent="0.3">
      <c r="F790" s="5"/>
      <c r="I790" s="6"/>
      <c r="K790" s="5"/>
      <c r="M790" s="5"/>
      <c r="O790" s="5"/>
      <c r="Q790" s="5"/>
      <c r="S790" s="5"/>
      <c r="U790" s="5"/>
      <c r="W790" s="5"/>
      <c r="Y790" s="5"/>
    </row>
    <row r="791" spans="6:25" ht="15.75" customHeight="1" x14ac:dyDescent="0.3">
      <c r="F791" s="5"/>
      <c r="I791" s="6"/>
      <c r="K791" s="5"/>
      <c r="M791" s="5"/>
      <c r="O791" s="5"/>
      <c r="Q791" s="5"/>
      <c r="S791" s="5"/>
      <c r="U791" s="5"/>
      <c r="W791" s="5"/>
      <c r="Y791" s="5"/>
    </row>
    <row r="792" spans="6:25" ht="15.75" customHeight="1" x14ac:dyDescent="0.3">
      <c r="F792" s="5"/>
      <c r="I792" s="6"/>
      <c r="K792" s="5"/>
      <c r="M792" s="5"/>
      <c r="O792" s="5"/>
      <c r="Q792" s="5"/>
      <c r="S792" s="5"/>
      <c r="U792" s="5"/>
      <c r="W792" s="5"/>
      <c r="Y792" s="5"/>
    </row>
    <row r="793" spans="6:25" ht="15.75" customHeight="1" x14ac:dyDescent="0.3">
      <c r="F793" s="5"/>
      <c r="I793" s="6"/>
      <c r="K793" s="5"/>
      <c r="M793" s="5"/>
      <c r="O793" s="5"/>
      <c r="Q793" s="5"/>
      <c r="S793" s="5"/>
      <c r="U793" s="5"/>
      <c r="W793" s="5"/>
      <c r="Y793" s="5"/>
    </row>
    <row r="794" spans="6:25" ht="15.75" customHeight="1" x14ac:dyDescent="0.3">
      <c r="F794" s="5"/>
      <c r="I794" s="6"/>
      <c r="K794" s="5"/>
      <c r="M794" s="5"/>
      <c r="O794" s="5"/>
      <c r="Q794" s="5"/>
      <c r="S794" s="5"/>
      <c r="U794" s="5"/>
      <c r="W794" s="5"/>
      <c r="Y794" s="5"/>
    </row>
    <row r="795" spans="6:25" ht="15.75" customHeight="1" x14ac:dyDescent="0.3">
      <c r="F795" s="5"/>
      <c r="I795" s="6"/>
      <c r="K795" s="5"/>
      <c r="M795" s="5"/>
      <c r="O795" s="5"/>
      <c r="Q795" s="5"/>
      <c r="S795" s="5"/>
      <c r="U795" s="5"/>
      <c r="W795" s="5"/>
      <c r="Y795" s="5"/>
    </row>
    <row r="796" spans="6:25" ht="15.75" customHeight="1" x14ac:dyDescent="0.3">
      <c r="F796" s="5"/>
      <c r="I796" s="6"/>
      <c r="K796" s="5"/>
      <c r="M796" s="5"/>
      <c r="O796" s="5"/>
      <c r="Q796" s="5"/>
      <c r="S796" s="5"/>
      <c r="U796" s="5"/>
      <c r="W796" s="5"/>
      <c r="Y796" s="5"/>
    </row>
    <row r="797" spans="6:25" ht="15.75" customHeight="1" x14ac:dyDescent="0.3">
      <c r="F797" s="5"/>
      <c r="I797" s="6"/>
      <c r="K797" s="5"/>
      <c r="M797" s="5"/>
      <c r="O797" s="5"/>
      <c r="Q797" s="5"/>
      <c r="S797" s="5"/>
      <c r="U797" s="5"/>
      <c r="W797" s="5"/>
      <c r="Y797" s="5"/>
    </row>
    <row r="798" spans="6:25" ht="15.75" customHeight="1" x14ac:dyDescent="0.3">
      <c r="F798" s="5"/>
      <c r="I798" s="6"/>
      <c r="K798" s="5"/>
      <c r="M798" s="5"/>
      <c r="O798" s="5"/>
      <c r="Q798" s="5"/>
      <c r="S798" s="5"/>
      <c r="U798" s="5"/>
      <c r="W798" s="5"/>
      <c r="Y798" s="5"/>
    </row>
    <row r="799" spans="6:25" ht="15.75" customHeight="1" x14ac:dyDescent="0.3">
      <c r="F799" s="5"/>
      <c r="I799" s="6"/>
      <c r="K799" s="5"/>
      <c r="M799" s="5"/>
      <c r="O799" s="5"/>
      <c r="Q799" s="5"/>
      <c r="S799" s="5"/>
      <c r="U799" s="5"/>
      <c r="W799" s="5"/>
      <c r="Y799" s="5"/>
    </row>
    <row r="800" spans="6:25" ht="15.75" customHeight="1" x14ac:dyDescent="0.3">
      <c r="F800" s="5"/>
      <c r="I800" s="6"/>
      <c r="K800" s="5"/>
      <c r="M800" s="5"/>
      <c r="O800" s="5"/>
      <c r="Q800" s="5"/>
      <c r="S800" s="5"/>
      <c r="U800" s="5"/>
      <c r="W800" s="5"/>
      <c r="Y800" s="5"/>
    </row>
    <row r="801" spans="6:25" ht="15.75" customHeight="1" x14ac:dyDescent="0.3">
      <c r="F801" s="5"/>
      <c r="I801" s="6"/>
      <c r="K801" s="5"/>
      <c r="M801" s="5"/>
      <c r="O801" s="5"/>
      <c r="Q801" s="5"/>
      <c r="S801" s="5"/>
      <c r="U801" s="5"/>
      <c r="W801" s="5"/>
      <c r="Y801" s="5"/>
    </row>
    <row r="802" spans="6:25" ht="15.75" customHeight="1" x14ac:dyDescent="0.3">
      <c r="F802" s="5"/>
      <c r="I802" s="6"/>
      <c r="K802" s="5"/>
      <c r="M802" s="5"/>
      <c r="O802" s="5"/>
      <c r="Q802" s="5"/>
      <c r="S802" s="5"/>
      <c r="U802" s="5"/>
      <c r="W802" s="5"/>
      <c r="Y802" s="5"/>
    </row>
    <row r="803" spans="6:25" ht="15.75" customHeight="1" x14ac:dyDescent="0.3">
      <c r="F803" s="5"/>
      <c r="I803" s="6"/>
      <c r="K803" s="5"/>
      <c r="M803" s="5"/>
      <c r="O803" s="5"/>
      <c r="Q803" s="5"/>
      <c r="S803" s="5"/>
      <c r="U803" s="5"/>
      <c r="W803" s="5"/>
      <c r="Y803" s="5"/>
    </row>
    <row r="804" spans="6:25" ht="15.75" customHeight="1" x14ac:dyDescent="0.3">
      <c r="F804" s="5"/>
      <c r="I804" s="6"/>
      <c r="K804" s="5"/>
      <c r="M804" s="5"/>
      <c r="O804" s="5"/>
      <c r="Q804" s="5"/>
      <c r="S804" s="5"/>
      <c r="U804" s="5"/>
      <c r="W804" s="5"/>
      <c r="Y804" s="5"/>
    </row>
    <row r="805" spans="6:25" ht="15.75" customHeight="1" x14ac:dyDescent="0.3">
      <c r="F805" s="5"/>
      <c r="I805" s="6"/>
      <c r="K805" s="5"/>
      <c r="M805" s="5"/>
      <c r="O805" s="5"/>
      <c r="Q805" s="5"/>
      <c r="S805" s="5"/>
      <c r="U805" s="5"/>
      <c r="W805" s="5"/>
      <c r="Y805" s="5"/>
    </row>
    <row r="806" spans="6:25" ht="15.75" customHeight="1" x14ac:dyDescent="0.3">
      <c r="F806" s="5"/>
      <c r="I806" s="6"/>
      <c r="K806" s="5"/>
      <c r="M806" s="5"/>
      <c r="O806" s="5"/>
      <c r="Q806" s="5"/>
      <c r="S806" s="5"/>
      <c r="U806" s="5"/>
      <c r="W806" s="5"/>
      <c r="Y806" s="5"/>
    </row>
    <row r="807" spans="6:25" ht="15.75" customHeight="1" x14ac:dyDescent="0.3">
      <c r="F807" s="5"/>
      <c r="I807" s="6"/>
      <c r="K807" s="5"/>
      <c r="M807" s="5"/>
      <c r="O807" s="5"/>
      <c r="Q807" s="5"/>
      <c r="S807" s="5"/>
      <c r="U807" s="5"/>
      <c r="W807" s="5"/>
      <c r="Y807" s="5"/>
    </row>
    <row r="808" spans="6:25" ht="15.75" customHeight="1" x14ac:dyDescent="0.3">
      <c r="F808" s="5"/>
      <c r="I808" s="6"/>
      <c r="K808" s="5"/>
      <c r="M808" s="5"/>
      <c r="O808" s="5"/>
      <c r="Q808" s="5"/>
      <c r="S808" s="5"/>
      <c r="U808" s="5"/>
      <c r="W808" s="5"/>
      <c r="Y808" s="5"/>
    </row>
    <row r="809" spans="6:25" ht="15.75" customHeight="1" x14ac:dyDescent="0.3">
      <c r="F809" s="5"/>
      <c r="I809" s="6"/>
      <c r="K809" s="5"/>
      <c r="M809" s="5"/>
      <c r="O809" s="5"/>
      <c r="Q809" s="5"/>
      <c r="S809" s="5"/>
      <c r="U809" s="5"/>
      <c r="W809" s="5"/>
      <c r="Y809" s="5"/>
    </row>
    <row r="810" spans="6:25" ht="15.75" customHeight="1" x14ac:dyDescent="0.3">
      <c r="F810" s="5"/>
      <c r="I810" s="6"/>
      <c r="K810" s="5"/>
      <c r="M810" s="5"/>
      <c r="O810" s="5"/>
      <c r="Q810" s="5"/>
      <c r="S810" s="5"/>
      <c r="U810" s="5"/>
      <c r="W810" s="5"/>
      <c r="Y810" s="5"/>
    </row>
    <row r="811" spans="6:25" ht="15.75" customHeight="1" x14ac:dyDescent="0.3">
      <c r="F811" s="5"/>
      <c r="I811" s="6"/>
      <c r="K811" s="5"/>
      <c r="M811" s="5"/>
      <c r="O811" s="5"/>
      <c r="Q811" s="5"/>
      <c r="S811" s="5"/>
      <c r="U811" s="5"/>
      <c r="W811" s="5"/>
      <c r="Y811" s="5"/>
    </row>
    <row r="812" spans="6:25" ht="15.75" customHeight="1" x14ac:dyDescent="0.3">
      <c r="F812" s="5"/>
      <c r="I812" s="6"/>
      <c r="K812" s="5"/>
      <c r="M812" s="5"/>
      <c r="O812" s="5"/>
      <c r="Q812" s="5"/>
      <c r="S812" s="5"/>
      <c r="U812" s="5"/>
      <c r="W812" s="5"/>
      <c r="Y812" s="5"/>
    </row>
    <row r="813" spans="6:25" ht="15.75" customHeight="1" x14ac:dyDescent="0.3">
      <c r="F813" s="5"/>
      <c r="I813" s="6"/>
      <c r="K813" s="5"/>
      <c r="M813" s="5"/>
      <c r="O813" s="5"/>
      <c r="Q813" s="5"/>
      <c r="S813" s="5"/>
      <c r="U813" s="5"/>
      <c r="W813" s="5"/>
      <c r="Y813" s="5"/>
    </row>
    <row r="814" spans="6:25" ht="15.75" customHeight="1" x14ac:dyDescent="0.3">
      <c r="F814" s="5"/>
      <c r="I814" s="6"/>
      <c r="K814" s="5"/>
      <c r="M814" s="5"/>
      <c r="O814" s="5"/>
      <c r="Q814" s="5"/>
      <c r="S814" s="5"/>
      <c r="U814" s="5"/>
      <c r="W814" s="5"/>
      <c r="Y814" s="5"/>
    </row>
    <row r="815" spans="6:25" ht="15.75" customHeight="1" x14ac:dyDescent="0.3">
      <c r="F815" s="5"/>
      <c r="I815" s="6"/>
      <c r="K815" s="5"/>
      <c r="M815" s="5"/>
      <c r="O815" s="5"/>
      <c r="Q815" s="5"/>
      <c r="S815" s="5"/>
      <c r="U815" s="5"/>
      <c r="W815" s="5"/>
      <c r="Y815" s="5"/>
    </row>
    <row r="816" spans="6:25" ht="15.75" customHeight="1" x14ac:dyDescent="0.3">
      <c r="F816" s="5"/>
      <c r="I816" s="6"/>
      <c r="K816" s="5"/>
      <c r="M816" s="5"/>
      <c r="O816" s="5"/>
      <c r="Q816" s="5"/>
      <c r="S816" s="5"/>
      <c r="U816" s="5"/>
      <c r="W816" s="5"/>
      <c r="Y816" s="5"/>
    </row>
    <row r="817" spans="6:25" ht="15.75" customHeight="1" x14ac:dyDescent="0.3">
      <c r="F817" s="5"/>
      <c r="I817" s="6"/>
      <c r="K817" s="5"/>
      <c r="M817" s="5"/>
      <c r="O817" s="5"/>
      <c r="Q817" s="5"/>
      <c r="S817" s="5"/>
      <c r="U817" s="5"/>
      <c r="W817" s="5"/>
      <c r="Y817" s="5"/>
    </row>
    <row r="818" spans="6:25" ht="15.75" customHeight="1" x14ac:dyDescent="0.3">
      <c r="F818" s="5"/>
      <c r="I818" s="6"/>
      <c r="K818" s="5"/>
      <c r="M818" s="5"/>
      <c r="O818" s="5"/>
      <c r="Q818" s="5"/>
      <c r="S818" s="5"/>
      <c r="U818" s="5"/>
      <c r="W818" s="5"/>
      <c r="Y818" s="5"/>
    </row>
    <row r="819" spans="6:25" ht="15.75" customHeight="1" x14ac:dyDescent="0.3">
      <c r="F819" s="5"/>
      <c r="I819" s="6"/>
      <c r="K819" s="5"/>
      <c r="M819" s="5"/>
      <c r="O819" s="5"/>
      <c r="Q819" s="5"/>
      <c r="S819" s="5"/>
      <c r="U819" s="5"/>
      <c r="W819" s="5"/>
      <c r="Y819" s="5"/>
    </row>
    <row r="820" spans="6:25" ht="15.75" customHeight="1" x14ac:dyDescent="0.3">
      <c r="F820" s="5"/>
      <c r="I820" s="6"/>
      <c r="K820" s="5"/>
      <c r="M820" s="5"/>
      <c r="O820" s="5"/>
      <c r="Q820" s="5"/>
      <c r="S820" s="5"/>
      <c r="U820" s="5"/>
      <c r="W820" s="5"/>
      <c r="Y820" s="5"/>
    </row>
    <row r="821" spans="6:25" ht="15.75" customHeight="1" x14ac:dyDescent="0.3">
      <c r="F821" s="5"/>
      <c r="I821" s="6"/>
      <c r="K821" s="5"/>
      <c r="M821" s="5"/>
      <c r="O821" s="5"/>
      <c r="Q821" s="5"/>
      <c r="S821" s="5"/>
      <c r="U821" s="5"/>
      <c r="W821" s="5"/>
      <c r="Y821" s="5"/>
    </row>
    <row r="822" spans="6:25" ht="15.75" customHeight="1" x14ac:dyDescent="0.3">
      <c r="F822" s="5"/>
      <c r="I822" s="6"/>
      <c r="K822" s="5"/>
      <c r="M822" s="5"/>
      <c r="O822" s="5"/>
      <c r="Q822" s="5"/>
      <c r="S822" s="5"/>
      <c r="U822" s="5"/>
      <c r="W822" s="5"/>
      <c r="Y822" s="5"/>
    </row>
    <row r="823" spans="6:25" ht="15.75" customHeight="1" x14ac:dyDescent="0.3">
      <c r="F823" s="5"/>
      <c r="I823" s="6"/>
      <c r="K823" s="5"/>
      <c r="M823" s="5"/>
      <c r="O823" s="5"/>
      <c r="Q823" s="5"/>
      <c r="S823" s="5"/>
      <c r="U823" s="5"/>
      <c r="W823" s="5"/>
      <c r="Y823" s="5"/>
    </row>
    <row r="824" spans="6:25" ht="15.75" customHeight="1" x14ac:dyDescent="0.3">
      <c r="F824" s="5"/>
      <c r="I824" s="6"/>
      <c r="K824" s="5"/>
      <c r="M824" s="5"/>
      <c r="O824" s="5"/>
      <c r="Q824" s="5"/>
      <c r="S824" s="5"/>
      <c r="U824" s="5"/>
      <c r="W824" s="5"/>
      <c r="Y824" s="5"/>
    </row>
    <row r="825" spans="6:25" ht="15.75" customHeight="1" x14ac:dyDescent="0.3">
      <c r="F825" s="5"/>
      <c r="I825" s="6"/>
      <c r="K825" s="5"/>
      <c r="M825" s="5"/>
      <c r="O825" s="5"/>
      <c r="Q825" s="5"/>
      <c r="S825" s="5"/>
      <c r="U825" s="5"/>
      <c r="W825" s="5"/>
      <c r="Y825" s="5"/>
    </row>
    <row r="826" spans="6:25" ht="15.75" customHeight="1" x14ac:dyDescent="0.3">
      <c r="F826" s="5"/>
      <c r="I826" s="6"/>
      <c r="K826" s="5"/>
      <c r="M826" s="5"/>
      <c r="O826" s="5"/>
      <c r="Q826" s="5"/>
      <c r="S826" s="5"/>
      <c r="U826" s="5"/>
      <c r="W826" s="5"/>
      <c r="Y826" s="5"/>
    </row>
    <row r="827" spans="6:25" ht="15.75" customHeight="1" x14ac:dyDescent="0.3">
      <c r="F827" s="5"/>
      <c r="I827" s="6"/>
      <c r="K827" s="5"/>
      <c r="M827" s="5"/>
      <c r="O827" s="5"/>
      <c r="Q827" s="5"/>
      <c r="S827" s="5"/>
      <c r="U827" s="5"/>
      <c r="W827" s="5"/>
      <c r="Y827" s="5"/>
    </row>
    <row r="828" spans="6:25" ht="15.75" customHeight="1" x14ac:dyDescent="0.3">
      <c r="F828" s="5"/>
      <c r="I828" s="6"/>
      <c r="K828" s="5"/>
      <c r="M828" s="5"/>
      <c r="O828" s="5"/>
      <c r="Q828" s="5"/>
      <c r="S828" s="5"/>
      <c r="U828" s="5"/>
      <c r="W828" s="5"/>
      <c r="Y828" s="5"/>
    </row>
    <row r="829" spans="6:25" ht="15.75" customHeight="1" x14ac:dyDescent="0.3">
      <c r="F829" s="5"/>
      <c r="I829" s="6"/>
      <c r="K829" s="5"/>
      <c r="M829" s="5"/>
      <c r="O829" s="5"/>
      <c r="Q829" s="5"/>
      <c r="S829" s="5"/>
      <c r="U829" s="5"/>
      <c r="W829" s="5"/>
      <c r="Y829" s="5"/>
    </row>
    <row r="830" spans="6:25" ht="15.75" customHeight="1" x14ac:dyDescent="0.3">
      <c r="F830" s="5"/>
      <c r="I830" s="6"/>
      <c r="K830" s="5"/>
      <c r="M830" s="5"/>
      <c r="O830" s="5"/>
      <c r="Q830" s="5"/>
      <c r="S830" s="5"/>
      <c r="U830" s="5"/>
      <c r="W830" s="5"/>
      <c r="Y830" s="5"/>
    </row>
    <row r="831" spans="6:25" ht="15.75" customHeight="1" x14ac:dyDescent="0.3">
      <c r="F831" s="5"/>
      <c r="I831" s="6"/>
      <c r="K831" s="5"/>
      <c r="M831" s="5"/>
      <c r="O831" s="5"/>
      <c r="Q831" s="5"/>
      <c r="S831" s="5"/>
      <c r="U831" s="5"/>
      <c r="W831" s="5"/>
      <c r="Y831" s="5"/>
    </row>
    <row r="832" spans="6:25" ht="15.75" customHeight="1" x14ac:dyDescent="0.3">
      <c r="F832" s="5"/>
      <c r="I832" s="6"/>
      <c r="K832" s="5"/>
      <c r="M832" s="5"/>
      <c r="O832" s="5"/>
      <c r="Q832" s="5"/>
      <c r="S832" s="5"/>
      <c r="U832" s="5"/>
      <c r="W832" s="5"/>
      <c r="Y832" s="5"/>
    </row>
    <row r="833" spans="6:25" ht="15.75" customHeight="1" x14ac:dyDescent="0.3">
      <c r="F833" s="5"/>
      <c r="I833" s="6"/>
      <c r="K833" s="5"/>
      <c r="M833" s="5"/>
      <c r="O833" s="5"/>
      <c r="Q833" s="5"/>
      <c r="S833" s="5"/>
      <c r="U833" s="5"/>
      <c r="W833" s="5"/>
      <c r="Y833" s="5"/>
    </row>
    <row r="834" spans="6:25" ht="15.75" customHeight="1" x14ac:dyDescent="0.3">
      <c r="F834" s="5"/>
      <c r="I834" s="6"/>
      <c r="K834" s="5"/>
      <c r="M834" s="5"/>
      <c r="O834" s="5"/>
      <c r="Q834" s="5"/>
      <c r="S834" s="5"/>
      <c r="U834" s="5"/>
      <c r="W834" s="5"/>
      <c r="Y834" s="5"/>
    </row>
    <row r="835" spans="6:25" ht="15.75" customHeight="1" x14ac:dyDescent="0.3">
      <c r="F835" s="5"/>
      <c r="I835" s="6"/>
      <c r="K835" s="5"/>
      <c r="M835" s="5"/>
      <c r="O835" s="5"/>
      <c r="Q835" s="5"/>
      <c r="S835" s="5"/>
      <c r="U835" s="5"/>
      <c r="W835" s="5"/>
      <c r="Y835" s="5"/>
    </row>
    <row r="836" spans="6:25" ht="15.75" customHeight="1" x14ac:dyDescent="0.3">
      <c r="F836" s="5"/>
      <c r="I836" s="6"/>
      <c r="K836" s="5"/>
      <c r="M836" s="5"/>
      <c r="O836" s="5"/>
      <c r="Q836" s="5"/>
      <c r="S836" s="5"/>
      <c r="U836" s="5"/>
      <c r="W836" s="5"/>
      <c r="Y836" s="5"/>
    </row>
    <row r="837" spans="6:25" ht="15.75" customHeight="1" x14ac:dyDescent="0.3">
      <c r="F837" s="5"/>
      <c r="I837" s="6"/>
      <c r="K837" s="5"/>
      <c r="M837" s="5"/>
      <c r="O837" s="5"/>
      <c r="Q837" s="5"/>
      <c r="S837" s="5"/>
      <c r="U837" s="5"/>
      <c r="W837" s="5"/>
      <c r="Y837" s="5"/>
    </row>
    <row r="838" spans="6:25" ht="15.75" customHeight="1" x14ac:dyDescent="0.3">
      <c r="F838" s="5"/>
      <c r="I838" s="6"/>
      <c r="K838" s="5"/>
      <c r="M838" s="5"/>
      <c r="O838" s="5"/>
      <c r="Q838" s="5"/>
      <c r="S838" s="5"/>
      <c r="U838" s="5"/>
      <c r="W838" s="5"/>
      <c r="Y838" s="5"/>
    </row>
    <row r="839" spans="6:25" ht="15.75" customHeight="1" x14ac:dyDescent="0.3">
      <c r="F839" s="5"/>
      <c r="I839" s="6"/>
      <c r="K839" s="5"/>
      <c r="M839" s="5"/>
      <c r="O839" s="5"/>
      <c r="Q839" s="5"/>
      <c r="S839" s="5"/>
      <c r="U839" s="5"/>
      <c r="W839" s="5"/>
      <c r="Y839" s="5"/>
    </row>
    <row r="840" spans="6:25" ht="15.75" customHeight="1" x14ac:dyDescent="0.3">
      <c r="F840" s="5"/>
      <c r="I840" s="6"/>
      <c r="K840" s="5"/>
      <c r="M840" s="5"/>
      <c r="O840" s="5"/>
      <c r="Q840" s="5"/>
      <c r="S840" s="5"/>
      <c r="U840" s="5"/>
      <c r="W840" s="5"/>
      <c r="Y840" s="5"/>
    </row>
    <row r="841" spans="6:25" ht="15.75" customHeight="1" x14ac:dyDescent="0.3">
      <c r="F841" s="5"/>
      <c r="I841" s="6"/>
      <c r="K841" s="5"/>
      <c r="M841" s="5"/>
      <c r="O841" s="5"/>
      <c r="Q841" s="5"/>
      <c r="S841" s="5"/>
      <c r="U841" s="5"/>
      <c r="W841" s="5"/>
      <c r="Y841" s="5"/>
    </row>
    <row r="842" spans="6:25" ht="15.75" customHeight="1" x14ac:dyDescent="0.3">
      <c r="F842" s="5"/>
      <c r="I842" s="6"/>
      <c r="K842" s="5"/>
      <c r="M842" s="5"/>
      <c r="O842" s="5"/>
      <c r="Q842" s="5"/>
      <c r="S842" s="5"/>
      <c r="U842" s="5"/>
      <c r="W842" s="5"/>
      <c r="Y842" s="5"/>
    </row>
    <row r="843" spans="6:25" ht="15.75" customHeight="1" x14ac:dyDescent="0.3">
      <c r="F843" s="5"/>
      <c r="I843" s="6"/>
      <c r="K843" s="5"/>
      <c r="M843" s="5"/>
      <c r="O843" s="5"/>
      <c r="Q843" s="5"/>
      <c r="S843" s="5"/>
      <c r="U843" s="5"/>
      <c r="W843" s="5"/>
      <c r="Y843" s="5"/>
    </row>
    <row r="844" spans="6:25" ht="15.75" customHeight="1" x14ac:dyDescent="0.3">
      <c r="F844" s="5"/>
      <c r="I844" s="6"/>
      <c r="K844" s="5"/>
      <c r="M844" s="5"/>
      <c r="O844" s="5"/>
      <c r="Q844" s="5"/>
      <c r="S844" s="5"/>
      <c r="U844" s="5"/>
      <c r="W844" s="5"/>
      <c r="Y844" s="5"/>
    </row>
    <row r="845" spans="6:25" ht="15.75" customHeight="1" x14ac:dyDescent="0.3">
      <c r="F845" s="5"/>
      <c r="I845" s="6"/>
      <c r="K845" s="5"/>
      <c r="M845" s="5"/>
      <c r="O845" s="5"/>
      <c r="Q845" s="5"/>
      <c r="S845" s="5"/>
      <c r="U845" s="5"/>
      <c r="W845" s="5"/>
      <c r="Y845" s="5"/>
    </row>
    <row r="846" spans="6:25" ht="15.75" customHeight="1" x14ac:dyDescent="0.3">
      <c r="F846" s="5"/>
      <c r="I846" s="6"/>
      <c r="K846" s="5"/>
      <c r="M846" s="5"/>
      <c r="O846" s="5"/>
      <c r="Q846" s="5"/>
      <c r="S846" s="5"/>
      <c r="U846" s="5"/>
      <c r="W846" s="5"/>
      <c r="Y846" s="5"/>
    </row>
    <row r="847" spans="6:25" ht="15.75" customHeight="1" x14ac:dyDescent="0.3">
      <c r="F847" s="5"/>
      <c r="I847" s="6"/>
      <c r="K847" s="5"/>
      <c r="M847" s="5"/>
      <c r="O847" s="5"/>
      <c r="Q847" s="5"/>
      <c r="S847" s="5"/>
      <c r="U847" s="5"/>
      <c r="W847" s="5"/>
      <c r="Y847" s="5"/>
    </row>
    <row r="848" spans="6:25" ht="15.75" customHeight="1" x14ac:dyDescent="0.3">
      <c r="F848" s="5"/>
      <c r="I848" s="6"/>
      <c r="K848" s="5"/>
      <c r="M848" s="5"/>
      <c r="O848" s="5"/>
      <c r="Q848" s="5"/>
      <c r="S848" s="5"/>
      <c r="U848" s="5"/>
      <c r="W848" s="5"/>
      <c r="Y848" s="5"/>
    </row>
    <row r="849" spans="6:25" ht="15.75" customHeight="1" x14ac:dyDescent="0.3">
      <c r="F849" s="5"/>
      <c r="I849" s="6"/>
      <c r="K849" s="5"/>
      <c r="M849" s="5"/>
      <c r="O849" s="5"/>
      <c r="Q849" s="5"/>
      <c r="S849" s="5"/>
      <c r="U849" s="5"/>
      <c r="W849" s="5"/>
      <c r="Y849" s="5"/>
    </row>
    <row r="850" spans="6:25" ht="15.75" customHeight="1" x14ac:dyDescent="0.3">
      <c r="F850" s="5"/>
      <c r="I850" s="6"/>
      <c r="K850" s="5"/>
      <c r="M850" s="5"/>
      <c r="O850" s="5"/>
      <c r="Q850" s="5"/>
      <c r="S850" s="5"/>
      <c r="U850" s="5"/>
      <c r="W850" s="5"/>
      <c r="Y850" s="5"/>
    </row>
    <row r="851" spans="6:25" ht="15.75" customHeight="1" x14ac:dyDescent="0.3">
      <c r="F851" s="5"/>
      <c r="I851" s="6"/>
      <c r="K851" s="5"/>
      <c r="M851" s="5"/>
      <c r="O851" s="5"/>
      <c r="Q851" s="5"/>
      <c r="S851" s="5"/>
      <c r="U851" s="5"/>
      <c r="W851" s="5"/>
      <c r="Y851" s="5"/>
    </row>
    <row r="852" spans="6:25" ht="15.75" customHeight="1" x14ac:dyDescent="0.3">
      <c r="F852" s="5"/>
      <c r="I852" s="6"/>
      <c r="K852" s="5"/>
      <c r="M852" s="5"/>
      <c r="O852" s="5"/>
      <c r="Q852" s="5"/>
      <c r="S852" s="5"/>
      <c r="U852" s="5"/>
      <c r="W852" s="5"/>
      <c r="Y852" s="5"/>
    </row>
    <row r="853" spans="6:25" ht="15.75" customHeight="1" x14ac:dyDescent="0.3">
      <c r="F853" s="5"/>
      <c r="I853" s="6"/>
      <c r="K853" s="5"/>
      <c r="M853" s="5"/>
      <c r="O853" s="5"/>
      <c r="Q853" s="5"/>
      <c r="S853" s="5"/>
      <c r="U853" s="5"/>
      <c r="W853" s="5"/>
      <c r="Y853" s="5"/>
    </row>
    <row r="854" spans="6:25" ht="15.75" customHeight="1" x14ac:dyDescent="0.3">
      <c r="F854" s="5"/>
      <c r="I854" s="6"/>
      <c r="K854" s="5"/>
      <c r="M854" s="5"/>
      <c r="O854" s="5"/>
      <c r="Q854" s="5"/>
      <c r="S854" s="5"/>
      <c r="U854" s="5"/>
      <c r="W854" s="5"/>
      <c r="Y854" s="5"/>
    </row>
    <row r="855" spans="6:25" ht="15.75" customHeight="1" x14ac:dyDescent="0.3">
      <c r="F855" s="5"/>
      <c r="I855" s="6"/>
      <c r="K855" s="5"/>
      <c r="M855" s="5"/>
      <c r="O855" s="5"/>
      <c r="Q855" s="5"/>
      <c r="S855" s="5"/>
      <c r="U855" s="5"/>
      <c r="W855" s="5"/>
      <c r="Y855" s="5"/>
    </row>
    <row r="856" spans="6:25" ht="15.75" customHeight="1" x14ac:dyDescent="0.3">
      <c r="F856" s="5"/>
      <c r="I856" s="6"/>
      <c r="K856" s="5"/>
      <c r="M856" s="5"/>
      <c r="O856" s="5"/>
      <c r="Q856" s="5"/>
      <c r="S856" s="5"/>
      <c r="U856" s="5"/>
      <c r="W856" s="5"/>
      <c r="Y856" s="5"/>
    </row>
    <row r="857" spans="6:25" ht="15.75" customHeight="1" x14ac:dyDescent="0.3">
      <c r="F857" s="5"/>
      <c r="I857" s="6"/>
      <c r="K857" s="5"/>
      <c r="M857" s="5"/>
      <c r="O857" s="5"/>
      <c r="Q857" s="5"/>
      <c r="S857" s="5"/>
      <c r="U857" s="5"/>
      <c r="W857" s="5"/>
      <c r="Y857" s="5"/>
    </row>
    <row r="858" spans="6:25" ht="15.75" customHeight="1" x14ac:dyDescent="0.3">
      <c r="F858" s="5"/>
      <c r="I858" s="6"/>
      <c r="K858" s="5"/>
      <c r="M858" s="5"/>
      <c r="O858" s="5"/>
      <c r="Q858" s="5"/>
      <c r="S858" s="5"/>
      <c r="U858" s="5"/>
      <c r="W858" s="5"/>
      <c r="Y858" s="5"/>
    </row>
    <row r="859" spans="6:25" ht="15.75" customHeight="1" x14ac:dyDescent="0.3">
      <c r="F859" s="5"/>
      <c r="I859" s="6"/>
      <c r="K859" s="5"/>
      <c r="M859" s="5"/>
      <c r="O859" s="5"/>
      <c r="Q859" s="5"/>
      <c r="S859" s="5"/>
      <c r="U859" s="5"/>
      <c r="W859" s="5"/>
      <c r="Y859" s="5"/>
    </row>
    <row r="860" spans="6:25" ht="15.75" customHeight="1" x14ac:dyDescent="0.3">
      <c r="F860" s="5"/>
      <c r="I860" s="6"/>
      <c r="K860" s="5"/>
      <c r="M860" s="5"/>
      <c r="O860" s="5"/>
      <c r="Q860" s="5"/>
      <c r="S860" s="5"/>
      <c r="U860" s="5"/>
      <c r="W860" s="5"/>
      <c r="Y860" s="5"/>
    </row>
    <row r="861" spans="6:25" ht="15.75" customHeight="1" x14ac:dyDescent="0.3">
      <c r="F861" s="5"/>
      <c r="I861" s="6"/>
      <c r="K861" s="5"/>
      <c r="M861" s="5"/>
      <c r="O861" s="5"/>
      <c r="Q861" s="5"/>
      <c r="S861" s="5"/>
      <c r="U861" s="5"/>
      <c r="W861" s="5"/>
      <c r="Y861" s="5"/>
    </row>
    <row r="862" spans="6:25" ht="15.75" customHeight="1" x14ac:dyDescent="0.3">
      <c r="F862" s="5"/>
      <c r="I862" s="6"/>
      <c r="K862" s="5"/>
      <c r="M862" s="5"/>
      <c r="O862" s="5"/>
      <c r="Q862" s="5"/>
      <c r="S862" s="5"/>
      <c r="U862" s="5"/>
      <c r="W862" s="5"/>
      <c r="Y862" s="5"/>
    </row>
    <row r="863" spans="6:25" ht="15.75" customHeight="1" x14ac:dyDescent="0.3">
      <c r="F863" s="5"/>
      <c r="I863" s="6"/>
      <c r="K863" s="5"/>
      <c r="M863" s="5"/>
      <c r="O863" s="5"/>
      <c r="Q863" s="5"/>
      <c r="S863" s="5"/>
      <c r="U863" s="5"/>
      <c r="W863" s="5"/>
      <c r="Y863" s="5"/>
    </row>
    <row r="864" spans="6:25" ht="15.75" customHeight="1" x14ac:dyDescent="0.3">
      <c r="F864" s="5"/>
      <c r="I864" s="6"/>
      <c r="K864" s="5"/>
      <c r="M864" s="5"/>
      <c r="O864" s="5"/>
      <c r="Q864" s="5"/>
      <c r="S864" s="5"/>
      <c r="U864" s="5"/>
      <c r="W864" s="5"/>
      <c r="Y864" s="5"/>
    </row>
    <row r="865" spans="6:25" ht="15.75" customHeight="1" x14ac:dyDescent="0.3">
      <c r="F865" s="5"/>
      <c r="I865" s="6"/>
      <c r="K865" s="5"/>
      <c r="M865" s="5"/>
      <c r="O865" s="5"/>
      <c r="Q865" s="5"/>
      <c r="S865" s="5"/>
      <c r="U865" s="5"/>
      <c r="W865" s="5"/>
      <c r="Y865" s="5"/>
    </row>
    <row r="866" spans="6:25" ht="15.75" customHeight="1" x14ac:dyDescent="0.3">
      <c r="F866" s="5"/>
      <c r="I866" s="6"/>
      <c r="K866" s="5"/>
      <c r="M866" s="5"/>
      <c r="O866" s="5"/>
      <c r="Q866" s="5"/>
      <c r="S866" s="5"/>
      <c r="U866" s="5"/>
      <c r="W866" s="5"/>
      <c r="Y866" s="5"/>
    </row>
    <row r="867" spans="6:25" ht="15.75" customHeight="1" x14ac:dyDescent="0.3">
      <c r="F867" s="5"/>
      <c r="I867" s="6"/>
      <c r="K867" s="5"/>
      <c r="M867" s="5"/>
      <c r="O867" s="5"/>
      <c r="Q867" s="5"/>
      <c r="S867" s="5"/>
      <c r="U867" s="5"/>
      <c r="W867" s="5"/>
      <c r="Y867" s="5"/>
    </row>
    <row r="868" spans="6:25" ht="15.75" customHeight="1" x14ac:dyDescent="0.3">
      <c r="F868" s="5"/>
      <c r="I868" s="6"/>
      <c r="K868" s="5"/>
      <c r="M868" s="5"/>
      <c r="O868" s="5"/>
      <c r="Q868" s="5"/>
      <c r="S868" s="5"/>
      <c r="U868" s="5"/>
      <c r="W868" s="5"/>
      <c r="Y868" s="5"/>
    </row>
    <row r="869" spans="6:25" ht="15.75" customHeight="1" x14ac:dyDescent="0.3">
      <c r="F869" s="5"/>
      <c r="I869" s="6"/>
      <c r="K869" s="5"/>
      <c r="M869" s="5"/>
      <c r="O869" s="5"/>
      <c r="Q869" s="5"/>
      <c r="S869" s="5"/>
      <c r="U869" s="5"/>
      <c r="W869" s="5"/>
      <c r="Y869" s="5"/>
    </row>
    <row r="870" spans="6:25" ht="15.75" customHeight="1" x14ac:dyDescent="0.3">
      <c r="F870" s="5"/>
      <c r="I870" s="6"/>
      <c r="K870" s="5"/>
      <c r="M870" s="5"/>
      <c r="O870" s="5"/>
      <c r="Q870" s="5"/>
      <c r="S870" s="5"/>
      <c r="U870" s="5"/>
      <c r="W870" s="5"/>
      <c r="Y870" s="5"/>
    </row>
    <row r="871" spans="6:25" ht="15.75" customHeight="1" x14ac:dyDescent="0.3">
      <c r="F871" s="5"/>
      <c r="I871" s="6"/>
      <c r="K871" s="5"/>
      <c r="M871" s="5"/>
      <c r="O871" s="5"/>
      <c r="Q871" s="5"/>
      <c r="S871" s="5"/>
      <c r="U871" s="5"/>
      <c r="W871" s="5"/>
      <c r="Y871" s="5"/>
    </row>
    <row r="872" spans="6:25" ht="15.75" customHeight="1" x14ac:dyDescent="0.3">
      <c r="F872" s="5"/>
      <c r="I872" s="6"/>
      <c r="K872" s="5"/>
      <c r="M872" s="5"/>
      <c r="O872" s="5"/>
      <c r="Q872" s="5"/>
      <c r="S872" s="5"/>
      <c r="U872" s="5"/>
      <c r="W872" s="5"/>
      <c r="Y872" s="5"/>
    </row>
    <row r="873" spans="6:25" ht="15.75" customHeight="1" x14ac:dyDescent="0.3">
      <c r="F873" s="5"/>
      <c r="I873" s="6"/>
      <c r="K873" s="5"/>
      <c r="M873" s="5"/>
      <c r="O873" s="5"/>
      <c r="Q873" s="5"/>
      <c r="S873" s="5"/>
      <c r="U873" s="5"/>
      <c r="W873" s="5"/>
      <c r="Y873" s="5"/>
    </row>
    <row r="874" spans="6:25" ht="15.75" customHeight="1" x14ac:dyDescent="0.3">
      <c r="F874" s="5"/>
      <c r="I874" s="6"/>
      <c r="K874" s="5"/>
      <c r="M874" s="5"/>
      <c r="O874" s="5"/>
      <c r="Q874" s="5"/>
      <c r="S874" s="5"/>
      <c r="U874" s="5"/>
      <c r="W874" s="5"/>
      <c r="Y874" s="5"/>
    </row>
    <row r="875" spans="6:25" ht="15.75" customHeight="1" x14ac:dyDescent="0.3">
      <c r="F875" s="5"/>
      <c r="I875" s="6"/>
      <c r="K875" s="5"/>
      <c r="M875" s="5"/>
      <c r="O875" s="5"/>
      <c r="Q875" s="5"/>
      <c r="S875" s="5"/>
      <c r="U875" s="5"/>
      <c r="W875" s="5"/>
      <c r="Y875" s="5"/>
    </row>
    <row r="876" spans="6:25" ht="15.75" customHeight="1" x14ac:dyDescent="0.3">
      <c r="F876" s="5"/>
      <c r="I876" s="6"/>
      <c r="K876" s="5"/>
      <c r="M876" s="5"/>
      <c r="O876" s="5"/>
      <c r="Q876" s="5"/>
      <c r="S876" s="5"/>
      <c r="U876" s="5"/>
      <c r="W876" s="5"/>
      <c r="Y876" s="5"/>
    </row>
    <row r="877" spans="6:25" ht="15.75" customHeight="1" x14ac:dyDescent="0.3">
      <c r="F877" s="5"/>
      <c r="I877" s="6"/>
      <c r="K877" s="5"/>
      <c r="M877" s="5"/>
      <c r="O877" s="5"/>
      <c r="Q877" s="5"/>
      <c r="S877" s="5"/>
      <c r="U877" s="5"/>
      <c r="W877" s="5"/>
      <c r="Y877" s="5"/>
    </row>
    <row r="878" spans="6:25" ht="15.75" customHeight="1" x14ac:dyDescent="0.3">
      <c r="F878" s="5"/>
      <c r="I878" s="6"/>
      <c r="K878" s="5"/>
      <c r="M878" s="5"/>
      <c r="O878" s="5"/>
      <c r="Q878" s="5"/>
      <c r="S878" s="5"/>
      <c r="U878" s="5"/>
      <c r="W878" s="5"/>
      <c r="Y878" s="5"/>
    </row>
    <row r="879" spans="6:25" ht="15.75" customHeight="1" x14ac:dyDescent="0.3">
      <c r="F879" s="5"/>
      <c r="I879" s="6"/>
      <c r="K879" s="5"/>
      <c r="M879" s="5"/>
      <c r="O879" s="5"/>
      <c r="Q879" s="5"/>
      <c r="S879" s="5"/>
      <c r="U879" s="5"/>
      <c r="W879" s="5"/>
      <c r="Y879" s="5"/>
    </row>
    <row r="880" spans="6:25" ht="15.75" customHeight="1" x14ac:dyDescent="0.3">
      <c r="F880" s="5"/>
      <c r="I880" s="6"/>
      <c r="K880" s="5"/>
      <c r="M880" s="5"/>
      <c r="O880" s="5"/>
      <c r="Q880" s="5"/>
      <c r="S880" s="5"/>
      <c r="U880" s="5"/>
      <c r="W880" s="5"/>
      <c r="Y880" s="5"/>
    </row>
    <row r="881" spans="6:25" ht="15.75" customHeight="1" x14ac:dyDescent="0.3">
      <c r="F881" s="5"/>
      <c r="I881" s="6"/>
      <c r="K881" s="5"/>
      <c r="M881" s="5"/>
      <c r="O881" s="5"/>
      <c r="Q881" s="5"/>
      <c r="S881" s="5"/>
      <c r="U881" s="5"/>
      <c r="W881" s="5"/>
      <c r="Y881" s="5"/>
    </row>
    <row r="882" spans="6:25" ht="15.75" customHeight="1" x14ac:dyDescent="0.3">
      <c r="F882" s="5"/>
      <c r="I882" s="6"/>
      <c r="K882" s="5"/>
      <c r="M882" s="5"/>
      <c r="O882" s="5"/>
      <c r="Q882" s="5"/>
      <c r="S882" s="5"/>
      <c r="U882" s="5"/>
      <c r="W882" s="5"/>
      <c r="Y882" s="5"/>
    </row>
    <row r="883" spans="6:25" ht="15.75" customHeight="1" x14ac:dyDescent="0.3">
      <c r="F883" s="5"/>
      <c r="I883" s="6"/>
      <c r="K883" s="5"/>
      <c r="M883" s="5"/>
      <c r="O883" s="5"/>
      <c r="Q883" s="5"/>
      <c r="S883" s="5"/>
      <c r="U883" s="5"/>
      <c r="W883" s="5"/>
      <c r="Y883" s="5"/>
    </row>
    <row r="884" spans="6:25" ht="15.75" customHeight="1" x14ac:dyDescent="0.3">
      <c r="F884" s="5"/>
      <c r="I884" s="6"/>
      <c r="K884" s="5"/>
      <c r="M884" s="5"/>
      <c r="O884" s="5"/>
      <c r="Q884" s="5"/>
      <c r="S884" s="5"/>
      <c r="U884" s="5"/>
      <c r="W884" s="5"/>
      <c r="Y884" s="5"/>
    </row>
    <row r="885" spans="6:25" ht="15.75" customHeight="1" x14ac:dyDescent="0.3">
      <c r="F885" s="5"/>
      <c r="I885" s="6"/>
      <c r="K885" s="5"/>
      <c r="M885" s="5"/>
      <c r="O885" s="5"/>
      <c r="Q885" s="5"/>
      <c r="S885" s="5"/>
      <c r="U885" s="5"/>
      <c r="W885" s="5"/>
      <c r="Y885" s="5"/>
    </row>
    <row r="886" spans="6:25" ht="15.75" customHeight="1" x14ac:dyDescent="0.3">
      <c r="F886" s="5"/>
      <c r="I886" s="6"/>
      <c r="K886" s="5"/>
      <c r="M886" s="5"/>
      <c r="O886" s="5"/>
      <c r="Q886" s="5"/>
      <c r="S886" s="5"/>
      <c r="U886" s="5"/>
      <c r="W886" s="5"/>
      <c r="Y886" s="5"/>
    </row>
    <row r="887" spans="6:25" ht="15.75" customHeight="1" x14ac:dyDescent="0.3">
      <c r="F887" s="5"/>
      <c r="I887" s="6"/>
      <c r="K887" s="5"/>
      <c r="M887" s="5"/>
      <c r="O887" s="5"/>
      <c r="Q887" s="5"/>
      <c r="S887" s="5"/>
      <c r="U887" s="5"/>
      <c r="W887" s="5"/>
      <c r="Y887" s="5"/>
    </row>
    <row r="888" spans="6:25" ht="15.75" customHeight="1" x14ac:dyDescent="0.3">
      <c r="F888" s="5"/>
      <c r="I888" s="6"/>
      <c r="K888" s="5"/>
      <c r="M888" s="5"/>
      <c r="O888" s="5"/>
      <c r="Q888" s="5"/>
      <c r="S888" s="5"/>
      <c r="U888" s="5"/>
      <c r="W888" s="5"/>
      <c r="Y888" s="5"/>
    </row>
    <row r="889" spans="6:25" ht="15.75" customHeight="1" x14ac:dyDescent="0.3">
      <c r="F889" s="5"/>
      <c r="I889" s="6"/>
      <c r="K889" s="5"/>
      <c r="M889" s="5"/>
      <c r="O889" s="5"/>
      <c r="Q889" s="5"/>
      <c r="S889" s="5"/>
      <c r="U889" s="5"/>
      <c r="W889" s="5"/>
      <c r="Y889" s="5"/>
    </row>
    <row r="890" spans="6:25" ht="15.75" customHeight="1" x14ac:dyDescent="0.3">
      <c r="F890" s="5"/>
      <c r="I890" s="6"/>
      <c r="K890" s="5"/>
      <c r="M890" s="5"/>
      <c r="O890" s="5"/>
      <c r="Q890" s="5"/>
      <c r="S890" s="5"/>
      <c r="U890" s="5"/>
      <c r="W890" s="5"/>
      <c r="Y890" s="5"/>
    </row>
    <row r="891" spans="6:25" ht="15.75" customHeight="1" x14ac:dyDescent="0.3">
      <c r="F891" s="5"/>
      <c r="I891" s="6"/>
      <c r="K891" s="5"/>
      <c r="M891" s="5"/>
      <c r="O891" s="5"/>
      <c r="Q891" s="5"/>
      <c r="S891" s="5"/>
      <c r="U891" s="5"/>
      <c r="W891" s="5"/>
      <c r="Y891" s="5"/>
    </row>
    <row r="892" spans="6:25" ht="15.75" customHeight="1" x14ac:dyDescent="0.3">
      <c r="F892" s="5"/>
      <c r="I892" s="6"/>
      <c r="K892" s="5"/>
      <c r="M892" s="5"/>
      <c r="O892" s="5"/>
      <c r="Q892" s="5"/>
      <c r="S892" s="5"/>
      <c r="U892" s="5"/>
      <c r="W892" s="5"/>
      <c r="Y892" s="5"/>
    </row>
    <row r="893" spans="6:25" ht="15.75" customHeight="1" x14ac:dyDescent="0.3">
      <c r="F893" s="5"/>
      <c r="I893" s="6"/>
      <c r="K893" s="5"/>
      <c r="M893" s="5"/>
      <c r="O893" s="5"/>
      <c r="Q893" s="5"/>
      <c r="S893" s="5"/>
      <c r="U893" s="5"/>
      <c r="W893" s="5"/>
      <c r="Y893" s="5"/>
    </row>
    <row r="894" spans="6:25" ht="15.75" customHeight="1" x14ac:dyDescent="0.3">
      <c r="F894" s="5"/>
      <c r="I894" s="6"/>
      <c r="K894" s="5"/>
      <c r="M894" s="5"/>
      <c r="O894" s="5"/>
      <c r="Q894" s="5"/>
      <c r="S894" s="5"/>
      <c r="U894" s="5"/>
      <c r="W894" s="5"/>
      <c r="Y894" s="5"/>
    </row>
    <row r="895" spans="6:25" ht="15.75" customHeight="1" x14ac:dyDescent="0.3">
      <c r="F895" s="5"/>
      <c r="I895" s="6"/>
      <c r="K895" s="5"/>
      <c r="M895" s="5"/>
      <c r="O895" s="5"/>
      <c r="Q895" s="5"/>
      <c r="S895" s="5"/>
      <c r="U895" s="5"/>
      <c r="W895" s="5"/>
      <c r="Y895" s="5"/>
    </row>
    <row r="896" spans="6:25" ht="15.75" customHeight="1" x14ac:dyDescent="0.3">
      <c r="F896" s="5"/>
      <c r="I896" s="6"/>
      <c r="K896" s="5"/>
      <c r="M896" s="5"/>
      <c r="O896" s="5"/>
      <c r="Q896" s="5"/>
      <c r="S896" s="5"/>
      <c r="U896" s="5"/>
      <c r="W896" s="5"/>
      <c r="Y896" s="5"/>
    </row>
    <row r="897" spans="6:25" ht="15.75" customHeight="1" x14ac:dyDescent="0.3">
      <c r="F897" s="5"/>
      <c r="I897" s="6"/>
      <c r="K897" s="5"/>
      <c r="M897" s="5"/>
      <c r="O897" s="5"/>
      <c r="Q897" s="5"/>
      <c r="S897" s="5"/>
      <c r="U897" s="5"/>
      <c r="W897" s="5"/>
      <c r="Y897" s="5"/>
    </row>
    <row r="898" spans="6:25" ht="15.75" customHeight="1" x14ac:dyDescent="0.3">
      <c r="F898" s="5"/>
      <c r="I898" s="6"/>
      <c r="K898" s="5"/>
      <c r="M898" s="5"/>
      <c r="O898" s="5"/>
      <c r="Q898" s="5"/>
      <c r="S898" s="5"/>
      <c r="U898" s="5"/>
      <c r="W898" s="5"/>
      <c r="Y898" s="5"/>
    </row>
    <row r="899" spans="6:25" ht="15.75" customHeight="1" x14ac:dyDescent="0.3">
      <c r="F899" s="5"/>
      <c r="I899" s="6"/>
      <c r="K899" s="5"/>
      <c r="M899" s="5"/>
      <c r="O899" s="5"/>
      <c r="Q899" s="5"/>
      <c r="S899" s="5"/>
      <c r="U899" s="5"/>
      <c r="W899" s="5"/>
      <c r="Y899" s="5"/>
    </row>
    <row r="900" spans="6:25" ht="15.75" customHeight="1" x14ac:dyDescent="0.3">
      <c r="F900" s="5"/>
      <c r="I900" s="6"/>
      <c r="K900" s="5"/>
      <c r="M900" s="5"/>
      <c r="O900" s="5"/>
      <c r="Q900" s="5"/>
      <c r="S900" s="5"/>
      <c r="U900" s="5"/>
      <c r="W900" s="5"/>
      <c r="Y900" s="5"/>
    </row>
    <row r="901" spans="6:25" ht="15.75" customHeight="1" x14ac:dyDescent="0.3">
      <c r="F901" s="5"/>
      <c r="I901" s="6"/>
      <c r="K901" s="5"/>
      <c r="M901" s="5"/>
      <c r="O901" s="5"/>
      <c r="Q901" s="5"/>
      <c r="S901" s="5"/>
      <c r="U901" s="5"/>
      <c r="W901" s="5"/>
      <c r="Y901" s="5"/>
    </row>
    <row r="902" spans="6:25" ht="15.75" customHeight="1" x14ac:dyDescent="0.3">
      <c r="F902" s="5"/>
      <c r="I902" s="6"/>
      <c r="K902" s="5"/>
      <c r="M902" s="5"/>
      <c r="O902" s="5"/>
      <c r="Q902" s="5"/>
      <c r="S902" s="5"/>
      <c r="U902" s="5"/>
      <c r="W902" s="5"/>
      <c r="Y902" s="5"/>
    </row>
    <row r="903" spans="6:25" ht="15.75" customHeight="1" x14ac:dyDescent="0.3">
      <c r="F903" s="5"/>
      <c r="I903" s="6"/>
      <c r="K903" s="5"/>
      <c r="M903" s="5"/>
      <c r="O903" s="5"/>
      <c r="Q903" s="5"/>
      <c r="S903" s="5"/>
      <c r="U903" s="5"/>
      <c r="W903" s="5"/>
      <c r="Y903" s="5"/>
    </row>
    <row r="904" spans="6:25" ht="15.75" customHeight="1" x14ac:dyDescent="0.3">
      <c r="F904" s="5"/>
      <c r="I904" s="6"/>
      <c r="K904" s="5"/>
      <c r="M904" s="5"/>
      <c r="O904" s="5"/>
      <c r="Q904" s="5"/>
      <c r="S904" s="5"/>
      <c r="U904" s="5"/>
      <c r="W904" s="5"/>
      <c r="Y904" s="5"/>
    </row>
    <row r="905" spans="6:25" ht="15.75" customHeight="1" x14ac:dyDescent="0.3">
      <c r="F905" s="5"/>
      <c r="I905" s="6"/>
      <c r="K905" s="5"/>
      <c r="M905" s="5"/>
      <c r="O905" s="5"/>
      <c r="Q905" s="5"/>
      <c r="S905" s="5"/>
      <c r="U905" s="5"/>
      <c r="W905" s="5"/>
      <c r="Y905" s="5"/>
    </row>
    <row r="906" spans="6:25" ht="15.75" customHeight="1" x14ac:dyDescent="0.3">
      <c r="F906" s="5"/>
      <c r="I906" s="6"/>
      <c r="K906" s="5"/>
      <c r="M906" s="5"/>
      <c r="O906" s="5"/>
      <c r="Q906" s="5"/>
      <c r="S906" s="5"/>
      <c r="U906" s="5"/>
      <c r="W906" s="5"/>
      <c r="Y906" s="5"/>
    </row>
    <row r="907" spans="6:25" ht="15.75" customHeight="1" x14ac:dyDescent="0.3">
      <c r="F907" s="5"/>
      <c r="I907" s="6"/>
      <c r="K907" s="5"/>
      <c r="M907" s="5"/>
      <c r="O907" s="5"/>
      <c r="Q907" s="5"/>
      <c r="S907" s="5"/>
      <c r="U907" s="5"/>
      <c r="W907" s="5"/>
      <c r="Y907" s="5"/>
    </row>
    <row r="908" spans="6:25" ht="15.75" customHeight="1" x14ac:dyDescent="0.3">
      <c r="F908" s="5"/>
      <c r="I908" s="6"/>
      <c r="K908" s="5"/>
      <c r="M908" s="5"/>
      <c r="O908" s="5"/>
      <c r="Q908" s="5"/>
      <c r="S908" s="5"/>
      <c r="U908" s="5"/>
      <c r="W908" s="5"/>
      <c r="Y908" s="5"/>
    </row>
    <row r="909" spans="6:25" ht="15.75" customHeight="1" x14ac:dyDescent="0.3">
      <c r="F909" s="5"/>
      <c r="I909" s="6"/>
      <c r="K909" s="5"/>
      <c r="M909" s="5"/>
      <c r="O909" s="5"/>
      <c r="Q909" s="5"/>
      <c r="S909" s="5"/>
      <c r="U909" s="5"/>
      <c r="W909" s="5"/>
      <c r="Y909" s="5"/>
    </row>
    <row r="910" spans="6:25" ht="15.75" customHeight="1" x14ac:dyDescent="0.3">
      <c r="F910" s="5"/>
      <c r="I910" s="6"/>
      <c r="K910" s="5"/>
      <c r="M910" s="5"/>
      <c r="O910" s="5"/>
      <c r="Q910" s="5"/>
      <c r="S910" s="5"/>
      <c r="U910" s="5"/>
      <c r="W910" s="5"/>
      <c r="Y910" s="5"/>
    </row>
    <row r="911" spans="6:25" ht="15.75" customHeight="1" x14ac:dyDescent="0.3">
      <c r="F911" s="5"/>
      <c r="I911" s="6"/>
      <c r="K911" s="5"/>
      <c r="M911" s="5"/>
      <c r="O911" s="5"/>
      <c r="Q911" s="5"/>
      <c r="S911" s="5"/>
      <c r="U911" s="5"/>
      <c r="W911" s="5"/>
      <c r="Y911" s="5"/>
    </row>
    <row r="912" spans="6:25" ht="15.75" customHeight="1" x14ac:dyDescent="0.3">
      <c r="F912" s="5"/>
      <c r="I912" s="6"/>
      <c r="K912" s="5"/>
      <c r="M912" s="5"/>
      <c r="O912" s="5"/>
      <c r="Q912" s="5"/>
      <c r="S912" s="5"/>
      <c r="U912" s="5"/>
      <c r="W912" s="5"/>
      <c r="Y912" s="5"/>
    </row>
    <row r="913" spans="6:25" ht="15.75" customHeight="1" x14ac:dyDescent="0.3">
      <c r="F913" s="5"/>
      <c r="I913" s="6"/>
      <c r="K913" s="5"/>
      <c r="M913" s="5"/>
      <c r="O913" s="5"/>
      <c r="Q913" s="5"/>
      <c r="S913" s="5"/>
      <c r="U913" s="5"/>
      <c r="W913" s="5"/>
      <c r="Y913" s="5"/>
    </row>
    <row r="914" spans="6:25" ht="15.75" customHeight="1" x14ac:dyDescent="0.3">
      <c r="F914" s="5"/>
      <c r="I914" s="6"/>
      <c r="K914" s="5"/>
      <c r="M914" s="5"/>
      <c r="O914" s="5"/>
      <c r="Q914" s="5"/>
      <c r="S914" s="5"/>
      <c r="U914" s="5"/>
      <c r="W914" s="5"/>
      <c r="Y914" s="5"/>
    </row>
    <row r="915" spans="6:25" ht="15.75" customHeight="1" x14ac:dyDescent="0.3">
      <c r="F915" s="5"/>
      <c r="I915" s="6"/>
      <c r="K915" s="5"/>
      <c r="M915" s="5"/>
      <c r="O915" s="5"/>
      <c r="Q915" s="5"/>
      <c r="S915" s="5"/>
      <c r="U915" s="5"/>
      <c r="W915" s="5"/>
      <c r="Y915" s="5"/>
    </row>
    <row r="916" spans="6:25" ht="15.75" customHeight="1" x14ac:dyDescent="0.3">
      <c r="F916" s="5"/>
      <c r="I916" s="6"/>
      <c r="K916" s="5"/>
      <c r="M916" s="5"/>
      <c r="O916" s="5"/>
      <c r="Q916" s="5"/>
      <c r="S916" s="5"/>
      <c r="U916" s="5"/>
      <c r="W916" s="5"/>
      <c r="Y916" s="5"/>
    </row>
    <row r="917" spans="6:25" ht="15.75" customHeight="1" x14ac:dyDescent="0.3">
      <c r="F917" s="5"/>
      <c r="I917" s="6"/>
      <c r="K917" s="5"/>
      <c r="M917" s="5"/>
      <c r="O917" s="5"/>
      <c r="Q917" s="5"/>
      <c r="S917" s="5"/>
      <c r="U917" s="5"/>
      <c r="W917" s="5"/>
      <c r="Y917" s="5"/>
    </row>
    <row r="918" spans="6:25" ht="15.75" customHeight="1" x14ac:dyDescent="0.3">
      <c r="F918" s="5"/>
      <c r="I918" s="6"/>
      <c r="K918" s="5"/>
      <c r="M918" s="5"/>
      <c r="O918" s="5"/>
      <c r="Q918" s="5"/>
      <c r="S918" s="5"/>
      <c r="U918" s="5"/>
      <c r="W918" s="5"/>
      <c r="Y918" s="5"/>
    </row>
    <row r="919" spans="6:25" ht="15.75" customHeight="1" x14ac:dyDescent="0.3">
      <c r="F919" s="5"/>
      <c r="I919" s="6"/>
      <c r="K919" s="5"/>
      <c r="M919" s="5"/>
      <c r="O919" s="5"/>
      <c r="Q919" s="5"/>
      <c r="S919" s="5"/>
      <c r="U919" s="5"/>
      <c r="W919" s="5"/>
      <c r="Y919" s="5"/>
    </row>
    <row r="920" spans="6:25" ht="15.75" customHeight="1" x14ac:dyDescent="0.3">
      <c r="F920" s="5"/>
      <c r="I920" s="6"/>
      <c r="K920" s="5"/>
      <c r="M920" s="5"/>
      <c r="O920" s="5"/>
      <c r="Q920" s="5"/>
      <c r="S920" s="5"/>
      <c r="U920" s="5"/>
      <c r="W920" s="5"/>
      <c r="Y920" s="5"/>
    </row>
    <row r="921" spans="6:25" ht="15.75" customHeight="1" x14ac:dyDescent="0.3">
      <c r="F921" s="5"/>
      <c r="I921" s="6"/>
      <c r="K921" s="5"/>
      <c r="M921" s="5"/>
      <c r="O921" s="5"/>
      <c r="Q921" s="5"/>
      <c r="S921" s="5"/>
      <c r="U921" s="5"/>
      <c r="W921" s="5"/>
      <c r="Y921" s="5"/>
    </row>
    <row r="922" spans="6:25" ht="15.75" customHeight="1" x14ac:dyDescent="0.3">
      <c r="F922" s="5"/>
      <c r="I922" s="6"/>
      <c r="K922" s="5"/>
      <c r="M922" s="5"/>
      <c r="O922" s="5"/>
      <c r="Q922" s="5"/>
      <c r="S922" s="5"/>
      <c r="U922" s="5"/>
      <c r="W922" s="5"/>
      <c r="Y922" s="5"/>
    </row>
    <row r="923" spans="6:25" ht="15.75" customHeight="1" x14ac:dyDescent="0.3">
      <c r="F923" s="5"/>
      <c r="I923" s="6"/>
      <c r="K923" s="5"/>
      <c r="M923" s="5"/>
      <c r="O923" s="5"/>
      <c r="Q923" s="5"/>
      <c r="S923" s="5"/>
      <c r="U923" s="5"/>
      <c r="W923" s="5"/>
      <c r="Y923" s="5"/>
    </row>
    <row r="924" spans="6:25" ht="15.75" customHeight="1" x14ac:dyDescent="0.3">
      <c r="F924" s="5"/>
      <c r="I924" s="6"/>
      <c r="K924" s="5"/>
      <c r="M924" s="5"/>
      <c r="O924" s="5"/>
      <c r="Q924" s="5"/>
      <c r="S924" s="5"/>
      <c r="U924" s="5"/>
      <c r="W924" s="5"/>
      <c r="Y924" s="5"/>
    </row>
    <row r="925" spans="6:25" ht="15.75" customHeight="1" x14ac:dyDescent="0.3">
      <c r="F925" s="5"/>
      <c r="I925" s="6"/>
      <c r="K925" s="5"/>
      <c r="M925" s="5"/>
      <c r="O925" s="5"/>
      <c r="Q925" s="5"/>
      <c r="S925" s="5"/>
      <c r="U925" s="5"/>
      <c r="W925" s="5"/>
      <c r="Y925" s="5"/>
    </row>
    <row r="926" spans="6:25" ht="15.75" customHeight="1" x14ac:dyDescent="0.3">
      <c r="F926" s="5"/>
      <c r="I926" s="6"/>
      <c r="K926" s="5"/>
      <c r="M926" s="5"/>
      <c r="O926" s="5"/>
      <c r="Q926" s="5"/>
      <c r="S926" s="5"/>
      <c r="U926" s="5"/>
      <c r="W926" s="5"/>
      <c r="Y926" s="5"/>
    </row>
    <row r="927" spans="6:25" ht="15.75" customHeight="1" x14ac:dyDescent="0.3">
      <c r="F927" s="5"/>
      <c r="I927" s="6"/>
      <c r="K927" s="5"/>
      <c r="M927" s="5"/>
      <c r="O927" s="5"/>
      <c r="Q927" s="5"/>
      <c r="S927" s="5"/>
      <c r="U927" s="5"/>
      <c r="W927" s="5"/>
      <c r="Y927" s="5"/>
    </row>
    <row r="928" spans="6:25" ht="15.75" customHeight="1" x14ac:dyDescent="0.3">
      <c r="F928" s="5"/>
      <c r="I928" s="6"/>
      <c r="K928" s="5"/>
      <c r="M928" s="5"/>
      <c r="O928" s="5"/>
      <c r="Q928" s="5"/>
      <c r="S928" s="5"/>
      <c r="U928" s="5"/>
      <c r="W928" s="5"/>
      <c r="Y928" s="5"/>
    </row>
    <row r="929" spans="6:25" ht="15.75" customHeight="1" x14ac:dyDescent="0.3">
      <c r="F929" s="5"/>
      <c r="I929" s="6"/>
      <c r="K929" s="5"/>
      <c r="M929" s="5"/>
      <c r="O929" s="5"/>
      <c r="Q929" s="5"/>
      <c r="S929" s="5"/>
      <c r="U929" s="5"/>
      <c r="W929" s="5"/>
      <c r="Y929" s="5"/>
    </row>
    <row r="930" spans="6:25" ht="15.75" customHeight="1" x14ac:dyDescent="0.3">
      <c r="F930" s="5"/>
      <c r="I930" s="6"/>
      <c r="K930" s="5"/>
      <c r="M930" s="5"/>
      <c r="O930" s="5"/>
      <c r="Q930" s="5"/>
      <c r="S930" s="5"/>
      <c r="U930" s="5"/>
      <c r="W930" s="5"/>
      <c r="Y930" s="5"/>
    </row>
    <row r="931" spans="6:25" ht="15.75" customHeight="1" x14ac:dyDescent="0.3">
      <c r="F931" s="5"/>
      <c r="I931" s="6"/>
      <c r="K931" s="5"/>
      <c r="M931" s="5"/>
      <c r="O931" s="5"/>
      <c r="Q931" s="5"/>
      <c r="S931" s="5"/>
      <c r="U931" s="5"/>
      <c r="W931" s="5"/>
      <c r="Y931" s="5"/>
    </row>
    <row r="932" spans="6:25" ht="15.75" customHeight="1" x14ac:dyDescent="0.3">
      <c r="F932" s="5"/>
      <c r="I932" s="6"/>
      <c r="K932" s="5"/>
      <c r="M932" s="5"/>
      <c r="O932" s="5"/>
      <c r="Q932" s="5"/>
      <c r="S932" s="5"/>
      <c r="U932" s="5"/>
      <c r="W932" s="5"/>
      <c r="Y932" s="5"/>
    </row>
    <row r="933" spans="6:25" ht="15.75" customHeight="1" x14ac:dyDescent="0.3">
      <c r="F933" s="5"/>
      <c r="I933" s="6"/>
      <c r="K933" s="5"/>
      <c r="M933" s="5"/>
      <c r="O933" s="5"/>
      <c r="Q933" s="5"/>
      <c r="S933" s="5"/>
      <c r="U933" s="5"/>
      <c r="W933" s="5"/>
      <c r="Y933" s="5"/>
    </row>
    <row r="934" spans="6:25" ht="15.75" customHeight="1" x14ac:dyDescent="0.3">
      <c r="F934" s="5"/>
      <c r="I934" s="6"/>
      <c r="K934" s="5"/>
      <c r="M934" s="5"/>
      <c r="O934" s="5"/>
      <c r="Q934" s="5"/>
      <c r="S934" s="5"/>
      <c r="U934" s="5"/>
      <c r="W934" s="5"/>
      <c r="Y934" s="5"/>
    </row>
    <row r="935" spans="6:25" ht="15.75" customHeight="1" x14ac:dyDescent="0.3">
      <c r="F935" s="5"/>
      <c r="I935" s="6"/>
      <c r="K935" s="5"/>
      <c r="M935" s="5"/>
      <c r="O935" s="5"/>
      <c r="Q935" s="5"/>
      <c r="S935" s="5"/>
      <c r="U935" s="5"/>
      <c r="W935" s="5"/>
      <c r="Y935" s="5"/>
    </row>
    <row r="936" spans="6:25" ht="15.75" customHeight="1" x14ac:dyDescent="0.3">
      <c r="F936" s="5"/>
      <c r="I936" s="6"/>
      <c r="K936" s="5"/>
      <c r="M936" s="5"/>
      <c r="O936" s="5"/>
      <c r="Q936" s="5"/>
      <c r="S936" s="5"/>
      <c r="U936" s="5"/>
      <c r="W936" s="5"/>
      <c r="Y936" s="5"/>
    </row>
    <row r="937" spans="6:25" ht="15.75" customHeight="1" x14ac:dyDescent="0.3">
      <c r="F937" s="5"/>
      <c r="I937" s="6"/>
      <c r="K937" s="5"/>
      <c r="M937" s="5"/>
      <c r="O937" s="5"/>
      <c r="Q937" s="5"/>
      <c r="S937" s="5"/>
      <c r="U937" s="5"/>
      <c r="W937" s="5"/>
      <c r="Y937" s="5"/>
    </row>
    <row r="938" spans="6:25" ht="15.75" customHeight="1" x14ac:dyDescent="0.3">
      <c r="F938" s="5"/>
      <c r="I938" s="6"/>
      <c r="K938" s="5"/>
      <c r="M938" s="5"/>
      <c r="O938" s="5"/>
      <c r="Q938" s="5"/>
      <c r="S938" s="5"/>
      <c r="U938" s="5"/>
      <c r="W938" s="5"/>
      <c r="Y938" s="5"/>
    </row>
    <row r="939" spans="6:25" ht="15.75" customHeight="1" x14ac:dyDescent="0.3">
      <c r="F939" s="5"/>
      <c r="I939" s="6"/>
      <c r="K939" s="5"/>
      <c r="M939" s="5"/>
      <c r="O939" s="5"/>
      <c r="Q939" s="5"/>
      <c r="S939" s="5"/>
      <c r="U939" s="5"/>
      <c r="W939" s="5"/>
      <c r="Y939" s="5"/>
    </row>
    <row r="940" spans="6:25" ht="15.75" customHeight="1" x14ac:dyDescent="0.3">
      <c r="F940" s="5"/>
      <c r="I940" s="6"/>
      <c r="K940" s="5"/>
      <c r="M940" s="5"/>
      <c r="O940" s="5"/>
      <c r="Q940" s="5"/>
      <c r="S940" s="5"/>
      <c r="U940" s="5"/>
      <c r="W940" s="5"/>
      <c r="Y940" s="5"/>
    </row>
    <row r="941" spans="6:25" ht="15.75" customHeight="1" x14ac:dyDescent="0.3">
      <c r="F941" s="5"/>
      <c r="I941" s="6"/>
      <c r="K941" s="5"/>
      <c r="M941" s="5"/>
      <c r="O941" s="5"/>
      <c r="Q941" s="5"/>
      <c r="S941" s="5"/>
      <c r="U941" s="5"/>
      <c r="W941" s="5"/>
      <c r="Y941" s="5"/>
    </row>
    <row r="942" spans="6:25" ht="15.75" customHeight="1" x14ac:dyDescent="0.3">
      <c r="F942" s="5"/>
      <c r="I942" s="6"/>
      <c r="K942" s="5"/>
      <c r="M942" s="5"/>
      <c r="O942" s="5"/>
      <c r="Q942" s="5"/>
      <c r="S942" s="5"/>
      <c r="U942" s="5"/>
      <c r="W942" s="5"/>
      <c r="Y942" s="5"/>
    </row>
    <row r="943" spans="6:25" ht="15.75" customHeight="1" x14ac:dyDescent="0.3">
      <c r="F943" s="5"/>
      <c r="I943" s="6"/>
      <c r="K943" s="5"/>
      <c r="M943" s="5"/>
      <c r="O943" s="5"/>
      <c r="Q943" s="5"/>
      <c r="S943" s="5"/>
      <c r="U943" s="5"/>
      <c r="W943" s="5"/>
      <c r="Y943" s="5"/>
    </row>
    <row r="944" spans="6:25" ht="15.75" customHeight="1" x14ac:dyDescent="0.3">
      <c r="F944" s="5"/>
      <c r="I944" s="6"/>
      <c r="K944" s="5"/>
      <c r="M944" s="5"/>
      <c r="O944" s="5"/>
      <c r="Q944" s="5"/>
      <c r="S944" s="5"/>
      <c r="U944" s="5"/>
      <c r="W944" s="5"/>
      <c r="Y944" s="5"/>
    </row>
    <row r="945" spans="6:25" ht="15.75" customHeight="1" x14ac:dyDescent="0.3">
      <c r="F945" s="5"/>
      <c r="I945" s="6"/>
      <c r="K945" s="5"/>
      <c r="M945" s="5"/>
      <c r="O945" s="5"/>
      <c r="Q945" s="5"/>
      <c r="S945" s="5"/>
      <c r="U945" s="5"/>
      <c r="W945" s="5"/>
      <c r="Y945" s="5"/>
    </row>
    <row r="946" spans="6:25" ht="15.75" customHeight="1" x14ac:dyDescent="0.3">
      <c r="F946" s="5"/>
      <c r="I946" s="6"/>
      <c r="K946" s="5"/>
      <c r="M946" s="5"/>
      <c r="O946" s="5"/>
      <c r="Q946" s="5"/>
      <c r="S946" s="5"/>
      <c r="U946" s="5"/>
      <c r="W946" s="5"/>
      <c r="Y946" s="5"/>
    </row>
    <row r="947" spans="6:25" ht="15.75" customHeight="1" x14ac:dyDescent="0.3">
      <c r="F947" s="5"/>
      <c r="I947" s="6"/>
      <c r="K947" s="5"/>
      <c r="M947" s="5"/>
      <c r="O947" s="5"/>
      <c r="Q947" s="5"/>
      <c r="S947" s="5"/>
      <c r="U947" s="5"/>
      <c r="W947" s="5"/>
      <c r="Y947" s="5"/>
    </row>
    <row r="948" spans="6:25" ht="15.75" customHeight="1" x14ac:dyDescent="0.3">
      <c r="F948" s="5"/>
      <c r="I948" s="6"/>
      <c r="K948" s="5"/>
      <c r="M948" s="5"/>
      <c r="O948" s="5"/>
      <c r="Q948" s="5"/>
      <c r="S948" s="5"/>
      <c r="U948" s="5"/>
      <c r="W948" s="5"/>
      <c r="Y948" s="5"/>
    </row>
    <row r="949" spans="6:25" ht="15.75" customHeight="1" x14ac:dyDescent="0.3">
      <c r="F949" s="5"/>
      <c r="I949" s="6"/>
      <c r="K949" s="5"/>
      <c r="M949" s="5"/>
      <c r="O949" s="5"/>
      <c r="Q949" s="5"/>
      <c r="S949" s="5"/>
      <c r="U949" s="5"/>
      <c r="W949" s="5"/>
      <c r="Y949" s="5"/>
    </row>
    <row r="950" spans="6:25" ht="15.75" customHeight="1" x14ac:dyDescent="0.3">
      <c r="F950" s="5"/>
      <c r="I950" s="6"/>
      <c r="K950" s="5"/>
      <c r="M950" s="5"/>
      <c r="O950" s="5"/>
      <c r="Q950" s="5"/>
      <c r="S950" s="5"/>
      <c r="U950" s="5"/>
      <c r="W950" s="5"/>
      <c r="Y950" s="5"/>
    </row>
    <row r="951" spans="6:25" ht="15.75" customHeight="1" x14ac:dyDescent="0.3">
      <c r="F951" s="5"/>
      <c r="I951" s="6"/>
      <c r="K951" s="5"/>
      <c r="M951" s="5"/>
      <c r="O951" s="5"/>
      <c r="Q951" s="5"/>
      <c r="S951" s="5"/>
      <c r="U951" s="5"/>
      <c r="W951" s="5"/>
      <c r="Y951" s="5"/>
    </row>
    <row r="952" spans="6:25" ht="15.75" customHeight="1" x14ac:dyDescent="0.3">
      <c r="F952" s="5"/>
      <c r="I952" s="6"/>
      <c r="K952" s="5"/>
      <c r="M952" s="5"/>
      <c r="O952" s="5"/>
      <c r="Q952" s="5"/>
      <c r="S952" s="5"/>
      <c r="U952" s="5"/>
      <c r="W952" s="5"/>
      <c r="Y952" s="5"/>
    </row>
    <row r="953" spans="6:25" ht="15.75" customHeight="1" x14ac:dyDescent="0.3">
      <c r="F953" s="5"/>
      <c r="I953" s="6"/>
      <c r="K953" s="5"/>
      <c r="M953" s="5"/>
      <c r="O953" s="5"/>
      <c r="Q953" s="5"/>
      <c r="S953" s="5"/>
      <c r="U953" s="5"/>
      <c r="W953" s="5"/>
      <c r="Y953" s="5"/>
    </row>
    <row r="954" spans="6:25" ht="15.75" customHeight="1" x14ac:dyDescent="0.3">
      <c r="F954" s="5"/>
      <c r="I954" s="6"/>
      <c r="K954" s="5"/>
      <c r="M954" s="5"/>
      <c r="O954" s="5"/>
      <c r="Q954" s="5"/>
      <c r="S954" s="5"/>
      <c r="U954" s="5"/>
      <c r="W954" s="5"/>
      <c r="Y954" s="5"/>
    </row>
    <row r="955" spans="6:25" ht="15.75" customHeight="1" x14ac:dyDescent="0.3">
      <c r="F955" s="5"/>
      <c r="I955" s="6"/>
      <c r="K955" s="5"/>
      <c r="M955" s="5"/>
      <c r="O955" s="5"/>
      <c r="Q955" s="5"/>
      <c r="S955" s="5"/>
      <c r="U955" s="5"/>
      <c r="W955" s="5"/>
      <c r="Y955" s="5"/>
    </row>
    <row r="956" spans="6:25" ht="15.75" customHeight="1" x14ac:dyDescent="0.3">
      <c r="F956" s="5"/>
      <c r="I956" s="6"/>
      <c r="K956" s="5"/>
      <c r="M956" s="5"/>
      <c r="O956" s="5"/>
      <c r="Q956" s="5"/>
      <c r="S956" s="5"/>
      <c r="U956" s="5"/>
      <c r="W956" s="5"/>
      <c r="Y956" s="5"/>
    </row>
    <row r="957" spans="6:25" ht="15.75" customHeight="1" x14ac:dyDescent="0.3">
      <c r="F957" s="5"/>
      <c r="I957" s="6"/>
      <c r="K957" s="5"/>
      <c r="M957" s="5"/>
      <c r="O957" s="5"/>
      <c r="Q957" s="5"/>
      <c r="S957" s="5"/>
      <c r="U957" s="5"/>
      <c r="W957" s="5"/>
      <c r="Y957" s="5"/>
    </row>
    <row r="958" spans="6:25" ht="15.75" customHeight="1" x14ac:dyDescent="0.3">
      <c r="F958" s="5"/>
      <c r="I958" s="6"/>
      <c r="K958" s="5"/>
      <c r="M958" s="5"/>
      <c r="O958" s="5"/>
      <c r="Q958" s="5"/>
      <c r="S958" s="5"/>
      <c r="U958" s="5"/>
      <c r="W958" s="5"/>
      <c r="Y958" s="5"/>
    </row>
    <row r="959" spans="6:25" ht="15.75" customHeight="1" x14ac:dyDescent="0.3">
      <c r="F959" s="5"/>
      <c r="I959" s="6"/>
      <c r="K959" s="5"/>
      <c r="M959" s="5"/>
      <c r="O959" s="5"/>
      <c r="Q959" s="5"/>
      <c r="S959" s="5"/>
      <c r="U959" s="5"/>
      <c r="W959" s="5"/>
      <c r="Y959" s="5"/>
    </row>
    <row r="960" spans="6:25" ht="15.75" customHeight="1" x14ac:dyDescent="0.3">
      <c r="F960" s="5"/>
      <c r="I960" s="6"/>
      <c r="K960" s="5"/>
      <c r="M960" s="5"/>
      <c r="O960" s="5"/>
      <c r="Q960" s="5"/>
      <c r="S960" s="5"/>
      <c r="U960" s="5"/>
      <c r="W960" s="5"/>
      <c r="Y960" s="5"/>
    </row>
    <row r="961" spans="6:25" ht="15.75" customHeight="1" x14ac:dyDescent="0.3">
      <c r="F961" s="5"/>
      <c r="I961" s="6"/>
      <c r="K961" s="5"/>
      <c r="M961" s="5"/>
      <c r="O961" s="5"/>
      <c r="Q961" s="5"/>
      <c r="S961" s="5"/>
      <c r="U961" s="5"/>
      <c r="W961" s="5"/>
      <c r="Y961" s="5"/>
    </row>
    <row r="962" spans="6:25" ht="15.75" customHeight="1" x14ac:dyDescent="0.3">
      <c r="F962" s="5"/>
      <c r="I962" s="6"/>
      <c r="K962" s="5"/>
      <c r="M962" s="5"/>
      <c r="O962" s="5"/>
      <c r="Q962" s="5"/>
      <c r="S962" s="5"/>
      <c r="U962" s="5"/>
      <c r="W962" s="5"/>
      <c r="Y962" s="5"/>
    </row>
    <row r="963" spans="6:25" ht="15.75" customHeight="1" x14ac:dyDescent="0.3">
      <c r="F963" s="5"/>
      <c r="I963" s="6"/>
      <c r="K963" s="5"/>
      <c r="M963" s="5"/>
      <c r="O963" s="5"/>
      <c r="Q963" s="5"/>
      <c r="S963" s="5"/>
      <c r="U963" s="5"/>
      <c r="W963" s="5"/>
      <c r="Y963" s="5"/>
    </row>
    <row r="964" spans="6:25" ht="15.75" customHeight="1" x14ac:dyDescent="0.3">
      <c r="F964" s="5"/>
      <c r="I964" s="6"/>
      <c r="K964" s="5"/>
      <c r="M964" s="5"/>
      <c r="O964" s="5"/>
      <c r="Q964" s="5"/>
      <c r="S964" s="5"/>
      <c r="U964" s="5"/>
      <c r="W964" s="5"/>
      <c r="Y964" s="5"/>
    </row>
    <row r="965" spans="6:25" ht="15.75" customHeight="1" x14ac:dyDescent="0.3">
      <c r="F965" s="5"/>
      <c r="I965" s="6"/>
      <c r="K965" s="5"/>
      <c r="M965" s="5"/>
      <c r="O965" s="5"/>
      <c r="Q965" s="5"/>
      <c r="S965" s="5"/>
      <c r="U965" s="5"/>
      <c r="W965" s="5"/>
      <c r="Y965" s="5"/>
    </row>
    <row r="966" spans="6:25" ht="15.75" customHeight="1" x14ac:dyDescent="0.3">
      <c r="F966" s="5"/>
      <c r="I966" s="6"/>
      <c r="K966" s="5"/>
      <c r="M966" s="5"/>
      <c r="O966" s="5"/>
      <c r="Q966" s="5"/>
      <c r="S966" s="5"/>
      <c r="U966" s="5"/>
      <c r="W966" s="5"/>
      <c r="Y966" s="5"/>
    </row>
    <row r="967" spans="6:25" ht="15.75" customHeight="1" x14ac:dyDescent="0.3">
      <c r="F967" s="5"/>
      <c r="I967" s="6"/>
      <c r="K967" s="5"/>
      <c r="M967" s="5"/>
      <c r="O967" s="5"/>
      <c r="Q967" s="5"/>
      <c r="S967" s="5"/>
      <c r="U967" s="5"/>
      <c r="W967" s="5"/>
      <c r="Y967" s="5"/>
    </row>
    <row r="968" spans="6:25" ht="15.75" customHeight="1" x14ac:dyDescent="0.3">
      <c r="F968" s="5"/>
      <c r="I968" s="6"/>
      <c r="K968" s="5"/>
      <c r="M968" s="5"/>
      <c r="O968" s="5"/>
      <c r="Q968" s="5"/>
      <c r="S968" s="5"/>
      <c r="U968" s="5"/>
      <c r="W968" s="5"/>
      <c r="Y968" s="5"/>
    </row>
    <row r="969" spans="6:25" ht="15.75" customHeight="1" x14ac:dyDescent="0.3">
      <c r="F969" s="5"/>
      <c r="I969" s="6"/>
      <c r="K969" s="5"/>
      <c r="M969" s="5"/>
      <c r="O969" s="5"/>
      <c r="Q969" s="5"/>
      <c r="S969" s="5"/>
      <c r="U969" s="5"/>
      <c r="W969" s="5"/>
      <c r="Y969" s="5"/>
    </row>
    <row r="970" spans="6:25" ht="15.75" customHeight="1" x14ac:dyDescent="0.3">
      <c r="F970" s="5"/>
      <c r="I970" s="6"/>
      <c r="K970" s="5"/>
      <c r="M970" s="5"/>
      <c r="O970" s="5"/>
      <c r="Q970" s="5"/>
      <c r="S970" s="5"/>
      <c r="U970" s="5"/>
      <c r="W970" s="5"/>
      <c r="Y970" s="5"/>
    </row>
    <row r="971" spans="6:25" ht="15.75" customHeight="1" x14ac:dyDescent="0.3">
      <c r="F971" s="5"/>
      <c r="I971" s="6"/>
      <c r="K971" s="5"/>
      <c r="M971" s="5"/>
      <c r="O971" s="5"/>
      <c r="Q971" s="5"/>
      <c r="S971" s="5"/>
      <c r="U971" s="5"/>
      <c r="W971" s="5"/>
      <c r="Y971" s="5"/>
    </row>
    <row r="972" spans="6:25" ht="15.75" customHeight="1" x14ac:dyDescent="0.3">
      <c r="F972" s="5"/>
      <c r="I972" s="6"/>
      <c r="K972" s="5"/>
      <c r="M972" s="5"/>
      <c r="O972" s="5"/>
      <c r="Q972" s="5"/>
      <c r="S972" s="5"/>
      <c r="U972" s="5"/>
      <c r="W972" s="5"/>
      <c r="Y972" s="5"/>
    </row>
    <row r="973" spans="6:25" ht="15.75" customHeight="1" x14ac:dyDescent="0.3">
      <c r="F973" s="5"/>
      <c r="I973" s="6"/>
      <c r="K973" s="5"/>
      <c r="M973" s="5"/>
      <c r="O973" s="5"/>
      <c r="Q973" s="5"/>
      <c r="S973" s="5"/>
      <c r="U973" s="5"/>
      <c r="W973" s="5"/>
      <c r="Y973" s="5"/>
    </row>
    <row r="974" spans="6:25" ht="15.75" customHeight="1" x14ac:dyDescent="0.3">
      <c r="F974" s="5"/>
      <c r="I974" s="6"/>
      <c r="K974" s="5"/>
      <c r="M974" s="5"/>
      <c r="O974" s="5"/>
      <c r="Q974" s="5"/>
      <c r="S974" s="5"/>
      <c r="U974" s="5"/>
      <c r="W974" s="5"/>
      <c r="Y974" s="5"/>
    </row>
    <row r="975" spans="6:25" ht="15.75" customHeight="1" x14ac:dyDescent="0.3">
      <c r="F975" s="5"/>
      <c r="I975" s="6"/>
      <c r="K975" s="5"/>
      <c r="M975" s="5"/>
      <c r="O975" s="5"/>
      <c r="Q975" s="5"/>
      <c r="S975" s="5"/>
      <c r="U975" s="5"/>
      <c r="W975" s="5"/>
      <c r="Y975" s="5"/>
    </row>
    <row r="976" spans="6:25" ht="15.75" customHeight="1" x14ac:dyDescent="0.3">
      <c r="F976" s="5"/>
      <c r="I976" s="6"/>
      <c r="K976" s="5"/>
      <c r="M976" s="5"/>
      <c r="O976" s="5"/>
      <c r="Q976" s="5"/>
      <c r="S976" s="5"/>
      <c r="U976" s="5"/>
      <c r="W976" s="5"/>
      <c r="Y976" s="5"/>
    </row>
    <row r="977" spans="6:25" ht="15.75" customHeight="1" x14ac:dyDescent="0.3">
      <c r="F977" s="5"/>
      <c r="I977" s="6"/>
      <c r="K977" s="5"/>
      <c r="M977" s="5"/>
      <c r="O977" s="5"/>
      <c r="Q977" s="5"/>
      <c r="S977" s="5"/>
      <c r="U977" s="5"/>
      <c r="W977" s="5"/>
      <c r="Y977" s="5"/>
    </row>
    <row r="978" spans="6:25" ht="15.75" customHeight="1" x14ac:dyDescent="0.3">
      <c r="F978" s="5"/>
      <c r="I978" s="6"/>
      <c r="K978" s="5"/>
      <c r="M978" s="5"/>
      <c r="O978" s="5"/>
      <c r="Q978" s="5"/>
      <c r="S978" s="5"/>
      <c r="U978" s="5"/>
      <c r="W978" s="5"/>
      <c r="Y978" s="5"/>
    </row>
    <row r="979" spans="6:25" ht="15.75" customHeight="1" x14ac:dyDescent="0.3">
      <c r="F979" s="5"/>
      <c r="I979" s="6"/>
      <c r="K979" s="5"/>
      <c r="M979" s="5"/>
      <c r="O979" s="5"/>
      <c r="Q979" s="5"/>
      <c r="S979" s="5"/>
      <c r="U979" s="5"/>
      <c r="W979" s="5"/>
      <c r="Y979" s="5"/>
    </row>
    <row r="980" spans="6:25" ht="15.75" customHeight="1" x14ac:dyDescent="0.3">
      <c r="F980" s="5"/>
      <c r="I980" s="6"/>
      <c r="K980" s="5"/>
      <c r="M980" s="5"/>
      <c r="O980" s="5"/>
      <c r="Q980" s="5"/>
      <c r="S980" s="5"/>
      <c r="U980" s="5"/>
      <c r="W980" s="5"/>
      <c r="Y980" s="5"/>
    </row>
    <row r="981" spans="6:25" ht="15.75" customHeight="1" x14ac:dyDescent="0.3">
      <c r="F981" s="5"/>
      <c r="I981" s="6"/>
      <c r="K981" s="5"/>
      <c r="M981" s="5"/>
      <c r="O981" s="5"/>
      <c r="Q981" s="5"/>
      <c r="S981" s="5"/>
      <c r="U981" s="5"/>
      <c r="W981" s="5"/>
      <c r="Y981" s="5"/>
    </row>
    <row r="982" spans="6:25" ht="15.75" customHeight="1" x14ac:dyDescent="0.3">
      <c r="F982" s="5"/>
      <c r="I982" s="6"/>
      <c r="K982" s="5"/>
      <c r="M982" s="5"/>
      <c r="O982" s="5"/>
      <c r="Q982" s="5"/>
      <c r="S982" s="5"/>
      <c r="U982" s="5"/>
      <c r="W982" s="5"/>
      <c r="Y982" s="5"/>
    </row>
    <row r="983" spans="6:25" ht="15.75" customHeight="1" x14ac:dyDescent="0.3">
      <c r="F983" s="5"/>
      <c r="I983" s="6"/>
      <c r="K983" s="5"/>
      <c r="M983" s="5"/>
      <c r="O983" s="5"/>
      <c r="Q983" s="5"/>
      <c r="S983" s="5"/>
      <c r="U983" s="5"/>
      <c r="W983" s="5"/>
      <c r="Y983" s="5"/>
    </row>
    <row r="984" spans="6:25" ht="15.75" customHeight="1" x14ac:dyDescent="0.3">
      <c r="F984" s="5"/>
      <c r="I984" s="6"/>
      <c r="K984" s="5"/>
      <c r="M984" s="5"/>
      <c r="O984" s="5"/>
      <c r="Q984" s="5"/>
      <c r="S984" s="5"/>
      <c r="U984" s="5"/>
      <c r="W984" s="5"/>
      <c r="Y984" s="5"/>
    </row>
    <row r="985" spans="6:25" ht="15.75" customHeight="1" x14ac:dyDescent="0.3">
      <c r="F985" s="5"/>
      <c r="I985" s="6"/>
      <c r="K985" s="5"/>
      <c r="M985" s="5"/>
      <c r="O985" s="5"/>
      <c r="Q985" s="5"/>
      <c r="S985" s="5"/>
      <c r="U985" s="5"/>
      <c r="W985" s="5"/>
      <c r="Y985" s="5"/>
    </row>
    <row r="986" spans="6:25" ht="15.75" customHeight="1" x14ac:dyDescent="0.3">
      <c r="F986" s="5"/>
      <c r="I986" s="6"/>
      <c r="K986" s="5"/>
      <c r="M986" s="5"/>
      <c r="O986" s="5"/>
      <c r="Q986" s="5"/>
      <c r="S986" s="5"/>
      <c r="U986" s="5"/>
      <c r="W986" s="5"/>
      <c r="Y986" s="5"/>
    </row>
    <row r="987" spans="6:25" ht="15.75" customHeight="1" x14ac:dyDescent="0.3">
      <c r="F987" s="5"/>
      <c r="I987" s="6"/>
      <c r="K987" s="5"/>
      <c r="M987" s="5"/>
      <c r="O987" s="5"/>
      <c r="Q987" s="5"/>
      <c r="S987" s="5"/>
      <c r="U987" s="5"/>
      <c r="W987" s="5"/>
      <c r="Y987" s="5"/>
    </row>
    <row r="988" spans="6:25" ht="15.75" customHeight="1" x14ac:dyDescent="0.3">
      <c r="F988" s="5"/>
      <c r="I988" s="6"/>
      <c r="K988" s="5"/>
      <c r="M988" s="5"/>
      <c r="O988" s="5"/>
      <c r="Q988" s="5"/>
      <c r="S988" s="5"/>
      <c r="U988" s="5"/>
      <c r="W988" s="5"/>
      <c r="Y988" s="5"/>
    </row>
    <row r="989" spans="6:25" ht="15.75" customHeight="1" x14ac:dyDescent="0.3">
      <c r="F989" s="5"/>
      <c r="I989" s="6"/>
      <c r="K989" s="5"/>
      <c r="M989" s="5"/>
      <c r="O989" s="5"/>
      <c r="Q989" s="5"/>
      <c r="S989" s="5"/>
      <c r="U989" s="5"/>
      <c r="W989" s="5"/>
      <c r="Y989" s="5"/>
    </row>
    <row r="990" spans="6:25" ht="15.75" customHeight="1" x14ac:dyDescent="0.3">
      <c r="F990" s="5"/>
      <c r="I990" s="6"/>
      <c r="K990" s="5"/>
      <c r="M990" s="5"/>
      <c r="O990" s="5"/>
      <c r="Q990" s="5"/>
      <c r="S990" s="5"/>
      <c r="U990" s="5"/>
      <c r="W990" s="5"/>
      <c r="Y990" s="5"/>
    </row>
    <row r="991" spans="6:25" ht="15.75" customHeight="1" x14ac:dyDescent="0.3">
      <c r="F991" s="5"/>
      <c r="I991" s="6"/>
      <c r="K991" s="5"/>
      <c r="M991" s="5"/>
      <c r="O991" s="5"/>
      <c r="Q991" s="5"/>
      <c r="S991" s="5"/>
      <c r="U991" s="5"/>
      <c r="W991" s="5"/>
      <c r="Y991" s="5"/>
    </row>
    <row r="992" spans="6:25" ht="15.75" customHeight="1" x14ac:dyDescent="0.3">
      <c r="F992" s="5"/>
      <c r="I992" s="6"/>
      <c r="K992" s="5"/>
      <c r="M992" s="5"/>
      <c r="O992" s="5"/>
      <c r="Q992" s="5"/>
      <c r="S992" s="5"/>
      <c r="U992" s="5"/>
      <c r="W992" s="5"/>
      <c r="Y992" s="5"/>
    </row>
  </sheetData>
  <mergeCells count="10">
    <mergeCell ref="A2:A3"/>
    <mergeCell ref="T2:U2"/>
    <mergeCell ref="V2:W2"/>
    <mergeCell ref="X2:Y2"/>
    <mergeCell ref="B2:B3"/>
    <mergeCell ref="C91:D91"/>
    <mergeCell ref="L2:M2"/>
    <mergeCell ref="N2:O2"/>
    <mergeCell ref="P2:Q2"/>
    <mergeCell ref="R2:S2"/>
  </mergeCells>
  <hyperlinks>
    <hyperlink ref="C91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ADD8-A68F-42E2-9CFA-6B7BA19C07C8}">
  <dimension ref="A1:AJ1000"/>
  <sheetViews>
    <sheetView tabSelected="1" zoomScale="55" zoomScaleNormal="55" workbookViewId="0">
      <selection activeCell="AA146" sqref="AA146"/>
    </sheetView>
  </sheetViews>
  <sheetFormatPr defaultColWidth="14.44140625" defaultRowHeight="15" customHeight="1" x14ac:dyDescent="0.3"/>
  <cols>
    <col min="1" max="1" width="22.109375" style="66" customWidth="1"/>
    <col min="2" max="2" width="20.33203125" style="66" customWidth="1"/>
    <col min="3" max="4" width="8.88671875" style="66" customWidth="1"/>
    <col min="5" max="5" width="19" style="66" customWidth="1"/>
    <col min="6" max="6" width="14.109375" style="66" customWidth="1"/>
    <col min="7" max="7" width="8.88671875" style="66" customWidth="1"/>
    <col min="8" max="11" width="11.33203125" style="66" customWidth="1"/>
    <col min="12" max="12" width="21.44140625" style="66" customWidth="1"/>
    <col min="13" max="13" width="14.44140625" style="66"/>
    <col min="14" max="14" width="8.88671875" style="66" customWidth="1"/>
    <col min="15" max="15" width="12" style="66" customWidth="1"/>
    <col min="16" max="16" width="11.44140625" style="66" customWidth="1"/>
    <col min="17" max="18" width="8.88671875" style="66" customWidth="1"/>
    <col min="19" max="21" width="20.33203125" style="66" customWidth="1"/>
    <col min="22" max="25" width="8.88671875" style="66" customWidth="1"/>
    <col min="26" max="26" width="14.33203125" style="66" customWidth="1"/>
    <col min="27" max="27" width="15.6640625" style="66" customWidth="1"/>
    <col min="28" max="28" width="16.33203125" style="66" customWidth="1"/>
    <col min="29" max="29" width="27.6640625" style="66" customWidth="1"/>
    <col min="30" max="30" width="20.6640625" style="66" customWidth="1"/>
    <col min="31" max="31" width="26.88671875" style="66" customWidth="1"/>
    <col min="32" max="32" width="11.33203125" style="66" customWidth="1"/>
    <col min="33" max="33" width="14.44140625" style="66"/>
    <col min="34" max="34" width="17.33203125" style="66" customWidth="1"/>
    <col min="35" max="36" width="11.33203125" style="66" customWidth="1"/>
    <col min="37" max="16384" width="14.44140625" style="66"/>
  </cols>
  <sheetData>
    <row r="1" spans="1:36" ht="47.25" customHeight="1" x14ac:dyDescent="0.3">
      <c r="A1" s="169" t="s">
        <v>0</v>
      </c>
      <c r="B1" s="63" t="s">
        <v>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5"/>
      <c r="AG1" s="65"/>
      <c r="AH1" s="65"/>
      <c r="AI1" s="65"/>
      <c r="AJ1" s="65"/>
    </row>
    <row r="2" spans="1:36" ht="14.25" customHeight="1" thickBot="1" x14ac:dyDescent="0.35">
      <c r="A2" s="170"/>
      <c r="B2" s="67" t="s">
        <v>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5"/>
      <c r="AG2" s="65"/>
      <c r="AH2" s="65"/>
      <c r="AI2" s="65"/>
      <c r="AJ2" s="65"/>
    </row>
    <row r="3" spans="1:36" ht="14.25" customHeight="1" x14ac:dyDescent="0.3">
      <c r="A3" s="2" t="s">
        <v>37</v>
      </c>
      <c r="B3" s="3">
        <v>732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5"/>
      <c r="AG3" s="65"/>
      <c r="AH3" s="65"/>
      <c r="AI3" s="65"/>
      <c r="AJ3" s="65"/>
    </row>
    <row r="4" spans="1:36" ht="14.25" customHeight="1" x14ac:dyDescent="0.3">
      <c r="A4" s="7" t="s">
        <v>85</v>
      </c>
      <c r="B4" s="1">
        <v>786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5"/>
      <c r="AH4" s="65"/>
      <c r="AI4" s="65"/>
      <c r="AJ4" s="65"/>
    </row>
    <row r="5" spans="1:36" ht="14.25" customHeight="1" thickBot="1" x14ac:dyDescent="0.35">
      <c r="A5" s="7" t="s">
        <v>53</v>
      </c>
      <c r="B5" s="1">
        <v>1909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5"/>
      <c r="AH5" s="65"/>
      <c r="AI5" s="65"/>
      <c r="AJ5" s="65"/>
    </row>
    <row r="6" spans="1:36" ht="42" customHeight="1" thickBot="1" x14ac:dyDescent="0.35">
      <c r="A6" s="7" t="s">
        <v>34</v>
      </c>
      <c r="B6" s="1">
        <v>2649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8" t="s">
        <v>152</v>
      </c>
      <c r="AA6" s="69">
        <v>82</v>
      </c>
      <c r="AB6" s="64"/>
      <c r="AC6" s="64"/>
      <c r="AD6" s="64"/>
      <c r="AE6" s="70" t="s">
        <v>153</v>
      </c>
      <c r="AF6" s="71"/>
      <c r="AG6" s="65"/>
      <c r="AH6" s="65"/>
      <c r="AI6" s="65"/>
      <c r="AJ6" s="65"/>
    </row>
    <row r="7" spans="1:36" ht="14.25" customHeight="1" thickBot="1" x14ac:dyDescent="0.35">
      <c r="A7" s="7" t="s">
        <v>54</v>
      </c>
      <c r="B7" s="1">
        <v>2867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72" t="s">
        <v>154</v>
      </c>
      <c r="AA7" s="73">
        <f>S10</f>
        <v>19244.848101265823</v>
      </c>
      <c r="AB7" s="64"/>
      <c r="AC7" s="64"/>
      <c r="AD7" s="64"/>
      <c r="AE7" s="64"/>
      <c r="AF7" s="65"/>
      <c r="AG7" s="65"/>
      <c r="AH7" s="65"/>
      <c r="AI7" s="65"/>
      <c r="AJ7" s="65"/>
    </row>
    <row r="8" spans="1:36" ht="15" customHeight="1" thickBot="1" x14ac:dyDescent="0.35">
      <c r="A8" s="7" t="s">
        <v>83</v>
      </c>
      <c r="B8" s="1">
        <v>3139</v>
      </c>
      <c r="C8" s="64"/>
      <c r="D8" s="64"/>
      <c r="E8" s="74" t="s">
        <v>91</v>
      </c>
      <c r="F8" s="142">
        <f>COUNT(B3:B81)</f>
        <v>79</v>
      </c>
      <c r="G8" s="64"/>
      <c r="H8" s="76" t="s">
        <v>92</v>
      </c>
      <c r="I8" s="77" t="s">
        <v>93</v>
      </c>
      <c r="J8" s="77" t="s">
        <v>94</v>
      </c>
      <c r="K8" s="78" t="s">
        <v>95</v>
      </c>
      <c r="L8" s="77" t="s">
        <v>111</v>
      </c>
      <c r="M8" s="79" t="s">
        <v>110</v>
      </c>
      <c r="N8" s="64"/>
      <c r="O8" s="80" t="s">
        <v>109</v>
      </c>
      <c r="P8" s="75">
        <f>SUM(M9:M15)</f>
        <v>1476292.5714285716</v>
      </c>
      <c r="Q8" s="64"/>
      <c r="R8" s="64"/>
      <c r="S8" s="171" t="s">
        <v>108</v>
      </c>
      <c r="T8" s="172"/>
      <c r="U8" s="173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5"/>
      <c r="AH8" s="65"/>
      <c r="AI8" s="65"/>
      <c r="AJ8" s="65"/>
    </row>
    <row r="9" spans="1:36" ht="14.25" customHeight="1" thickBot="1" x14ac:dyDescent="0.35">
      <c r="A9" s="7" t="s">
        <v>16</v>
      </c>
      <c r="B9" s="1">
        <v>3693</v>
      </c>
      <c r="C9" s="64"/>
      <c r="D9" s="64"/>
      <c r="E9" s="80" t="s">
        <v>96</v>
      </c>
      <c r="F9" s="142">
        <f>MIN(B:B)</f>
        <v>732</v>
      </c>
      <c r="G9" s="64"/>
      <c r="H9" s="81">
        <f>F9</f>
        <v>732</v>
      </c>
      <c r="I9" s="81">
        <f t="shared" ref="I9:I15" si="0">H9+$F$13</f>
        <v>8983.1428571428569</v>
      </c>
      <c r="J9" s="81">
        <f t="shared" ref="J9:J15" si="1">AVERAGE(H9:I9)</f>
        <v>4857.5714285714284</v>
      </c>
      <c r="K9" s="82">
        <f t="array" ref="K9:K16">FREQUENCY(B3:B83,I9:I15)</f>
        <v>19</v>
      </c>
      <c r="L9" s="81">
        <f>K9</f>
        <v>19</v>
      </c>
      <c r="M9" s="81">
        <f t="shared" ref="M9:M15" si="2">J9*K9</f>
        <v>92293.857142857145</v>
      </c>
      <c r="N9" s="64"/>
      <c r="O9" s="64"/>
      <c r="P9" s="64"/>
      <c r="Q9" s="64"/>
      <c r="R9" s="64"/>
      <c r="S9" s="84" t="s">
        <v>105</v>
      </c>
      <c r="T9" s="85" t="s">
        <v>104</v>
      </c>
      <c r="U9" s="85" t="s">
        <v>103</v>
      </c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5"/>
      <c r="AH9" s="65"/>
      <c r="AI9" s="65"/>
      <c r="AJ9" s="65"/>
    </row>
    <row r="10" spans="1:36" ht="14.25" customHeight="1" thickBot="1" x14ac:dyDescent="0.35">
      <c r="A10" s="7" t="s">
        <v>48</v>
      </c>
      <c r="B10" s="1">
        <v>4123</v>
      </c>
      <c r="C10" s="64"/>
      <c r="D10" s="64"/>
      <c r="E10" s="86" t="s">
        <v>97</v>
      </c>
      <c r="F10" s="142">
        <f>MAX(B:B)</f>
        <v>58490</v>
      </c>
      <c r="G10" s="64"/>
      <c r="H10" s="87">
        <f t="shared" ref="H10:H15" si="3">I9</f>
        <v>8983.1428571428569</v>
      </c>
      <c r="I10" s="87">
        <f t="shared" si="0"/>
        <v>17234.285714285714</v>
      </c>
      <c r="J10" s="87">
        <f t="shared" si="1"/>
        <v>13108.714285714286</v>
      </c>
      <c r="K10" s="83">
        <v>27</v>
      </c>
      <c r="L10" s="87">
        <f t="shared" ref="L10:L15" si="4">L9+K10</f>
        <v>46</v>
      </c>
      <c r="M10" s="81">
        <f t="shared" si="2"/>
        <v>353935.28571428574</v>
      </c>
      <c r="N10" s="64"/>
      <c r="O10" s="64"/>
      <c r="P10" s="64"/>
      <c r="Q10" s="64"/>
      <c r="R10" s="64"/>
      <c r="S10" s="81">
        <f>AVERAGE(B3:B83)</f>
        <v>19244.848101265823</v>
      </c>
      <c r="T10" s="88" t="s">
        <v>107</v>
      </c>
      <c r="U10" s="81">
        <f>MEDIAN(B3:B83)</f>
        <v>14341</v>
      </c>
      <c r="V10" s="64"/>
      <c r="W10" s="64"/>
      <c r="X10" s="64"/>
      <c r="Y10" s="64"/>
      <c r="Z10" s="89" t="s">
        <v>155</v>
      </c>
      <c r="AA10" s="90" t="s">
        <v>156</v>
      </c>
      <c r="AB10" s="90" t="s">
        <v>157</v>
      </c>
      <c r="AC10" s="91" t="s">
        <v>158</v>
      </c>
      <c r="AD10" s="64"/>
      <c r="AE10" s="64"/>
      <c r="AF10" s="65"/>
      <c r="AG10" s="65"/>
      <c r="AH10" s="65"/>
      <c r="AI10" s="65"/>
      <c r="AJ10" s="65"/>
    </row>
    <row r="11" spans="1:36" ht="14.25" customHeight="1" thickBot="1" x14ac:dyDescent="0.35">
      <c r="A11" s="7" t="s">
        <v>24</v>
      </c>
      <c r="B11" s="1">
        <v>4667</v>
      </c>
      <c r="C11" s="64"/>
      <c r="D11" s="64"/>
      <c r="E11" s="80" t="s">
        <v>98</v>
      </c>
      <c r="F11" s="142">
        <f>F10-F9</f>
        <v>57758</v>
      </c>
      <c r="G11" s="64"/>
      <c r="H11" s="87">
        <f t="shared" si="3"/>
        <v>17234.285714285714</v>
      </c>
      <c r="I11" s="87">
        <f t="shared" si="0"/>
        <v>25485.428571428572</v>
      </c>
      <c r="J11" s="87">
        <f t="shared" si="1"/>
        <v>21359.857142857145</v>
      </c>
      <c r="K11" s="83">
        <v>14</v>
      </c>
      <c r="L11" s="87">
        <f t="shared" si="4"/>
        <v>60</v>
      </c>
      <c r="M11" s="81">
        <f t="shared" si="2"/>
        <v>299038</v>
      </c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92">
        <v>732</v>
      </c>
      <c r="AA11" s="81">
        <f t="shared" ref="AA11:AA92" si="5">Z11-$AA$7</f>
        <v>-18512.848101265823</v>
      </c>
      <c r="AB11" s="81">
        <f t="shared" ref="AB11:AB92" si="6">AA11^2</f>
        <v>342725544.82054156</v>
      </c>
      <c r="AC11" s="93">
        <f t="shared" ref="AC11:AC92" si="7">ABS(AA11)</f>
        <v>18512.848101265823</v>
      </c>
      <c r="AD11" s="64"/>
      <c r="AE11" s="64"/>
      <c r="AF11" s="65"/>
      <c r="AG11" s="65"/>
      <c r="AH11" s="65"/>
      <c r="AI11" s="65"/>
      <c r="AJ11" s="65"/>
    </row>
    <row r="12" spans="1:36" ht="15.75" customHeight="1" thickBot="1" x14ac:dyDescent="0.35">
      <c r="A12" s="7" t="s">
        <v>49</v>
      </c>
      <c r="B12" s="1">
        <v>4761</v>
      </c>
      <c r="C12" s="64"/>
      <c r="D12" s="64"/>
      <c r="E12" s="80" t="s">
        <v>99</v>
      </c>
      <c r="F12" s="142">
        <f>ROUNDDOWN(1 +LOG10(F8)/LOG10(2), 0)</f>
        <v>7</v>
      </c>
      <c r="G12" s="64"/>
      <c r="H12" s="87">
        <f t="shared" si="3"/>
        <v>25485.428571428572</v>
      </c>
      <c r="I12" s="87">
        <f t="shared" si="0"/>
        <v>33736.571428571428</v>
      </c>
      <c r="J12" s="87">
        <f t="shared" si="1"/>
        <v>29611</v>
      </c>
      <c r="K12" s="83">
        <v>6</v>
      </c>
      <c r="L12" s="87">
        <f t="shared" si="4"/>
        <v>66</v>
      </c>
      <c r="M12" s="81">
        <f t="shared" si="2"/>
        <v>177666</v>
      </c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94">
        <v>786</v>
      </c>
      <c r="AA12" s="87">
        <f t="shared" si="5"/>
        <v>-18458.848101265823</v>
      </c>
      <c r="AB12" s="87">
        <f t="shared" si="6"/>
        <v>340729073.22560489</v>
      </c>
      <c r="AC12" s="95">
        <f t="shared" si="7"/>
        <v>18458.848101265823</v>
      </c>
      <c r="AD12" s="64"/>
      <c r="AE12" s="64"/>
      <c r="AF12" s="65"/>
      <c r="AG12" s="65"/>
      <c r="AH12" s="65"/>
      <c r="AI12" s="65"/>
      <c r="AJ12" s="65"/>
    </row>
    <row r="13" spans="1:36" ht="17.25" customHeight="1" thickBot="1" x14ac:dyDescent="0.35">
      <c r="A13" s="7" t="s">
        <v>23</v>
      </c>
      <c r="B13" s="1">
        <v>5884</v>
      </c>
      <c r="C13" s="64"/>
      <c r="D13" s="64"/>
      <c r="E13" s="96" t="s">
        <v>100</v>
      </c>
      <c r="F13" s="75">
        <f>F11/F12</f>
        <v>8251.1428571428569</v>
      </c>
      <c r="G13" s="64"/>
      <c r="H13" s="87">
        <f t="shared" si="3"/>
        <v>33736.571428571428</v>
      </c>
      <c r="I13" s="87">
        <f t="shared" si="0"/>
        <v>41987.714285714283</v>
      </c>
      <c r="J13" s="87">
        <f t="shared" si="1"/>
        <v>37862.142857142855</v>
      </c>
      <c r="K13" s="83">
        <v>4</v>
      </c>
      <c r="L13" s="87">
        <f t="shared" si="4"/>
        <v>70</v>
      </c>
      <c r="M13" s="81">
        <f t="shared" si="2"/>
        <v>151448.57142857142</v>
      </c>
      <c r="N13" s="64"/>
      <c r="O13" s="64"/>
      <c r="P13" s="64"/>
      <c r="Q13" s="64"/>
      <c r="R13" s="64"/>
      <c r="S13" s="171" t="s">
        <v>106</v>
      </c>
      <c r="T13" s="172"/>
      <c r="U13" s="173"/>
      <c r="V13" s="64"/>
      <c r="W13" s="64"/>
      <c r="X13" s="64"/>
      <c r="Y13" s="64"/>
      <c r="Z13" s="94">
        <v>1909</v>
      </c>
      <c r="AA13" s="87">
        <f t="shared" si="5"/>
        <v>-17335.848101265823</v>
      </c>
      <c r="AB13" s="87">
        <f t="shared" si="6"/>
        <v>300531629.39016187</v>
      </c>
      <c r="AC13" s="95">
        <f t="shared" si="7"/>
        <v>17335.848101265823</v>
      </c>
      <c r="AD13" s="64"/>
      <c r="AE13" s="64"/>
      <c r="AF13" s="65"/>
      <c r="AG13" s="65"/>
      <c r="AH13" s="65"/>
      <c r="AI13" s="65"/>
      <c r="AJ13" s="65"/>
    </row>
    <row r="14" spans="1:36" ht="14.25" customHeight="1" thickBot="1" x14ac:dyDescent="0.35">
      <c r="A14" s="7" t="s">
        <v>90</v>
      </c>
      <c r="B14" s="1">
        <v>6104</v>
      </c>
      <c r="C14" s="64"/>
      <c r="D14" s="64"/>
      <c r="E14" s="64"/>
      <c r="F14" s="64"/>
      <c r="G14" s="64"/>
      <c r="H14" s="87">
        <f t="shared" si="3"/>
        <v>41987.714285714283</v>
      </c>
      <c r="I14" s="87">
        <f t="shared" si="0"/>
        <v>50238.857142857138</v>
      </c>
      <c r="J14" s="87">
        <f t="shared" si="1"/>
        <v>46113.28571428571</v>
      </c>
      <c r="K14" s="83">
        <v>4</v>
      </c>
      <c r="L14" s="87">
        <f t="shared" si="4"/>
        <v>74</v>
      </c>
      <c r="M14" s="81">
        <f t="shared" si="2"/>
        <v>184453.14285714284</v>
      </c>
      <c r="N14" s="64"/>
      <c r="O14" s="64"/>
      <c r="P14" s="64"/>
      <c r="Q14" s="64"/>
      <c r="R14" s="64"/>
      <c r="S14" s="84" t="s">
        <v>105</v>
      </c>
      <c r="T14" s="85" t="s">
        <v>104</v>
      </c>
      <c r="U14" s="97" t="s">
        <v>103</v>
      </c>
      <c r="V14" s="64"/>
      <c r="W14" s="64"/>
      <c r="X14" s="64"/>
      <c r="Y14" s="64"/>
      <c r="Z14" s="94">
        <v>2649</v>
      </c>
      <c r="AA14" s="87">
        <f t="shared" si="5"/>
        <v>-16595.848101265823</v>
      </c>
      <c r="AB14" s="87">
        <f t="shared" si="6"/>
        <v>275422174.20028841</v>
      </c>
      <c r="AC14" s="95">
        <f t="shared" si="7"/>
        <v>16595.848101265823</v>
      </c>
      <c r="AD14" s="64"/>
      <c r="AE14" s="64"/>
      <c r="AF14" s="65"/>
      <c r="AG14" s="65"/>
      <c r="AH14" s="65"/>
      <c r="AI14" s="65"/>
      <c r="AJ14" s="65"/>
    </row>
    <row r="15" spans="1:36" ht="14.25" customHeight="1" x14ac:dyDescent="0.3">
      <c r="A15" s="7" t="s">
        <v>20</v>
      </c>
      <c r="B15" s="1">
        <v>7423</v>
      </c>
      <c r="C15" s="64"/>
      <c r="D15" s="64"/>
      <c r="E15" s="64"/>
      <c r="F15" s="64"/>
      <c r="G15" s="64"/>
      <c r="H15" s="87">
        <f t="shared" si="3"/>
        <v>50238.857142857138</v>
      </c>
      <c r="I15" s="87">
        <f t="shared" si="0"/>
        <v>58489.999999999993</v>
      </c>
      <c r="J15" s="87">
        <f t="shared" si="1"/>
        <v>54364.428571428565</v>
      </c>
      <c r="K15" s="83">
        <v>4</v>
      </c>
      <c r="L15" s="87">
        <f t="shared" si="4"/>
        <v>78</v>
      </c>
      <c r="M15" s="81">
        <f t="shared" si="2"/>
        <v>217457.71428571426</v>
      </c>
      <c r="N15" s="64"/>
      <c r="O15" s="64"/>
      <c r="P15" s="64"/>
      <c r="Q15" s="64"/>
      <c r="R15" s="64"/>
      <c r="S15" s="81">
        <f>P8/F8</f>
        <v>18687.247739602171</v>
      </c>
      <c r="T15" s="81">
        <f>H10+F13*(K10-K9)/(K11-K9+K10-K11)</f>
        <v>17234.285714285714</v>
      </c>
      <c r="U15" s="81">
        <f>H10+F13*(F8/2-L9)/L10</f>
        <v>12660.282608695652</v>
      </c>
      <c r="V15" s="64"/>
      <c r="W15" s="64"/>
      <c r="X15" s="64"/>
      <c r="Y15" s="64"/>
      <c r="Z15" s="94">
        <v>2867</v>
      </c>
      <c r="AA15" s="87">
        <f t="shared" si="5"/>
        <v>-16377.848101265823</v>
      </c>
      <c r="AB15" s="87">
        <f t="shared" si="6"/>
        <v>268233908.42813653</v>
      </c>
      <c r="AC15" s="95">
        <f t="shared" si="7"/>
        <v>16377.848101265823</v>
      </c>
      <c r="AD15" s="64"/>
      <c r="AE15" s="64"/>
      <c r="AF15" s="65"/>
      <c r="AG15" s="65"/>
      <c r="AH15" s="65"/>
      <c r="AI15" s="65"/>
      <c r="AJ15" s="65"/>
    </row>
    <row r="16" spans="1:36" ht="14.25" customHeight="1" x14ac:dyDescent="0.3">
      <c r="A16" s="7" t="s">
        <v>58</v>
      </c>
      <c r="B16" s="1">
        <v>7597</v>
      </c>
      <c r="C16" s="64"/>
      <c r="D16" s="64"/>
      <c r="E16" s="64"/>
      <c r="F16" s="64"/>
      <c r="G16" s="64"/>
      <c r="H16" s="64"/>
      <c r="I16" s="64"/>
      <c r="J16" s="64"/>
      <c r="K16" s="64">
        <v>1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94">
        <v>3139</v>
      </c>
      <c r="AA16" s="87">
        <f t="shared" si="5"/>
        <v>-16105.848101265823</v>
      </c>
      <c r="AB16" s="87">
        <f t="shared" si="6"/>
        <v>259398343.06104791</v>
      </c>
      <c r="AC16" s="95">
        <f t="shared" si="7"/>
        <v>16105.848101265823</v>
      </c>
      <c r="AD16" s="64"/>
      <c r="AE16" s="64"/>
      <c r="AF16" s="65"/>
      <c r="AG16" s="65"/>
      <c r="AH16" s="65"/>
      <c r="AI16" s="65"/>
      <c r="AJ16" s="65"/>
    </row>
    <row r="17" spans="1:36" ht="14.25" customHeight="1" x14ac:dyDescent="0.3">
      <c r="A17" s="7" t="s">
        <v>86</v>
      </c>
      <c r="B17" s="1">
        <v>7630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94">
        <v>3693</v>
      </c>
      <c r="AA17" s="87">
        <f t="shared" si="5"/>
        <v>-15551.848101265823</v>
      </c>
      <c r="AB17" s="87">
        <f t="shared" si="6"/>
        <v>241859979.3648454</v>
      </c>
      <c r="AC17" s="95">
        <f t="shared" si="7"/>
        <v>15551.848101265823</v>
      </c>
      <c r="AD17" s="64"/>
      <c r="AE17" s="64"/>
      <c r="AF17" s="65"/>
      <c r="AG17" s="65"/>
      <c r="AH17" s="65"/>
      <c r="AI17" s="65"/>
      <c r="AJ17" s="65"/>
    </row>
    <row r="18" spans="1:36" ht="14.25" customHeight="1" x14ac:dyDescent="0.3">
      <c r="A18" s="7" t="s">
        <v>61</v>
      </c>
      <c r="B18" s="1">
        <v>8075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94">
        <v>4123</v>
      </c>
      <c r="AA18" s="87">
        <f t="shared" si="5"/>
        <v>-15121.848101265823</v>
      </c>
      <c r="AB18" s="87">
        <f t="shared" si="6"/>
        <v>228670289.99775678</v>
      </c>
      <c r="AC18" s="95">
        <f t="shared" si="7"/>
        <v>15121.848101265823</v>
      </c>
      <c r="AD18" s="64"/>
      <c r="AE18" s="64"/>
      <c r="AF18" s="65"/>
      <c r="AG18" s="65"/>
      <c r="AH18" s="65"/>
      <c r="AI18" s="65"/>
      <c r="AJ18" s="65"/>
    </row>
    <row r="19" spans="1:36" ht="14.25" customHeight="1" x14ac:dyDescent="0.3">
      <c r="A19" s="7" t="s">
        <v>59</v>
      </c>
      <c r="B19" s="1">
        <v>8258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94">
        <v>4667</v>
      </c>
      <c r="AA19" s="87">
        <f t="shared" si="5"/>
        <v>-14577.848101265823</v>
      </c>
      <c r="AB19" s="87">
        <f t="shared" si="6"/>
        <v>212513655.26357958</v>
      </c>
      <c r="AC19" s="95">
        <f t="shared" si="7"/>
        <v>14577.848101265823</v>
      </c>
      <c r="AD19" s="64"/>
      <c r="AE19" s="64"/>
      <c r="AF19" s="65"/>
      <c r="AG19" s="65"/>
      <c r="AH19" s="65"/>
      <c r="AI19" s="65"/>
      <c r="AJ19" s="65"/>
    </row>
    <row r="20" spans="1:36" ht="14.25" customHeight="1" x14ac:dyDescent="0.3">
      <c r="A20" s="7" t="s">
        <v>63</v>
      </c>
      <c r="B20" s="1">
        <v>8546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94">
        <v>4761</v>
      </c>
      <c r="AA20" s="87">
        <f t="shared" si="5"/>
        <v>-14483.848101265823</v>
      </c>
      <c r="AB20" s="87">
        <f t="shared" si="6"/>
        <v>209781855.82054159</v>
      </c>
      <c r="AC20" s="95">
        <f t="shared" si="7"/>
        <v>14483.848101265823</v>
      </c>
      <c r="AD20" s="64"/>
      <c r="AE20" s="64"/>
      <c r="AF20" s="65"/>
      <c r="AG20" s="65"/>
      <c r="AH20" s="65"/>
      <c r="AI20" s="65"/>
      <c r="AJ20" s="65"/>
    </row>
    <row r="21" spans="1:36" ht="14.25" customHeight="1" x14ac:dyDescent="0.3">
      <c r="A21" s="7" t="s">
        <v>43</v>
      </c>
      <c r="B21" s="1">
        <v>8555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94">
        <v>5884</v>
      </c>
      <c r="AA21" s="87">
        <f t="shared" si="5"/>
        <v>-13360.848101265823</v>
      </c>
      <c r="AB21" s="87">
        <f t="shared" si="6"/>
        <v>178512261.98509854</v>
      </c>
      <c r="AC21" s="95">
        <f t="shared" si="7"/>
        <v>13360.848101265823</v>
      </c>
      <c r="AD21" s="64"/>
      <c r="AE21" s="64"/>
      <c r="AF21" s="65"/>
      <c r="AG21" s="65"/>
      <c r="AH21" s="65"/>
      <c r="AI21" s="65"/>
      <c r="AJ21" s="65"/>
    </row>
    <row r="22" spans="1:36" ht="14.25" customHeight="1" x14ac:dyDescent="0.3">
      <c r="A22" s="7" t="s">
        <v>69</v>
      </c>
      <c r="B22" s="1">
        <v>8988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94">
        <v>6104</v>
      </c>
      <c r="AA22" s="87">
        <f t="shared" si="5"/>
        <v>-13140.848101265823</v>
      </c>
      <c r="AB22" s="87">
        <f t="shared" si="6"/>
        <v>172681888.82054159</v>
      </c>
      <c r="AC22" s="95">
        <f t="shared" si="7"/>
        <v>13140.848101265823</v>
      </c>
      <c r="AD22" s="64"/>
      <c r="AE22" s="64"/>
      <c r="AF22" s="65"/>
      <c r="AG22" s="65"/>
      <c r="AH22" s="65"/>
      <c r="AI22" s="65"/>
      <c r="AJ22" s="65"/>
    </row>
    <row r="23" spans="1:36" ht="14.25" customHeight="1" x14ac:dyDescent="0.3">
      <c r="A23" s="7" t="s">
        <v>47</v>
      </c>
      <c r="B23" s="1">
        <v>9031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94">
        <v>7423</v>
      </c>
      <c r="AA23" s="87">
        <f t="shared" si="5"/>
        <v>-11821.848101265823</v>
      </c>
      <c r="AB23" s="87">
        <f t="shared" si="6"/>
        <v>139756092.52940235</v>
      </c>
      <c r="AC23" s="95">
        <f t="shared" si="7"/>
        <v>11821.848101265823</v>
      </c>
      <c r="AD23" s="64"/>
      <c r="AE23" s="64"/>
      <c r="AF23" s="65"/>
      <c r="AG23" s="65"/>
      <c r="AH23" s="65"/>
      <c r="AI23" s="65"/>
      <c r="AJ23" s="65"/>
    </row>
    <row r="24" spans="1:36" ht="14.25" customHeight="1" x14ac:dyDescent="0.3">
      <c r="A24" s="7" t="s">
        <v>27</v>
      </c>
      <c r="B24" s="1">
        <v>9114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94">
        <v>7597</v>
      </c>
      <c r="AA24" s="87">
        <f t="shared" si="5"/>
        <v>-11647.848101265823</v>
      </c>
      <c r="AB24" s="87">
        <f t="shared" si="6"/>
        <v>135672365.39016184</v>
      </c>
      <c r="AC24" s="95">
        <f t="shared" si="7"/>
        <v>11647.848101265823</v>
      </c>
      <c r="AD24" s="64"/>
      <c r="AE24" s="64"/>
      <c r="AF24" s="65"/>
      <c r="AG24" s="65"/>
      <c r="AH24" s="65"/>
      <c r="AI24" s="65"/>
      <c r="AJ24" s="65"/>
    </row>
    <row r="25" spans="1:36" ht="14.25" customHeight="1" x14ac:dyDescent="0.3">
      <c r="A25" s="7" t="s">
        <v>66</v>
      </c>
      <c r="B25" s="1">
        <v>10023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94">
        <v>7630</v>
      </c>
      <c r="AA25" s="87">
        <f t="shared" si="5"/>
        <v>-11614.848101265823</v>
      </c>
      <c r="AB25" s="87">
        <f t="shared" si="6"/>
        <v>134904696.41547829</v>
      </c>
      <c r="AC25" s="95">
        <f t="shared" si="7"/>
        <v>11614.848101265823</v>
      </c>
      <c r="AD25" s="64"/>
      <c r="AE25" s="64"/>
      <c r="AF25" s="65"/>
      <c r="AG25" s="65"/>
      <c r="AH25" s="65"/>
      <c r="AI25" s="65"/>
      <c r="AJ25" s="65"/>
    </row>
    <row r="26" spans="1:36" ht="14.25" customHeight="1" x14ac:dyDescent="0.3">
      <c r="A26" s="7" t="s">
        <v>64</v>
      </c>
      <c r="B26" s="1">
        <v>10839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94">
        <v>8075</v>
      </c>
      <c r="AA26" s="87">
        <f t="shared" si="5"/>
        <v>-11169.848101265823</v>
      </c>
      <c r="AB26" s="87">
        <f t="shared" si="6"/>
        <v>124765506.60535172</v>
      </c>
      <c r="AC26" s="95">
        <f t="shared" si="7"/>
        <v>11169.848101265823</v>
      </c>
      <c r="AD26" s="64"/>
      <c r="AE26" s="64"/>
      <c r="AF26" s="65"/>
      <c r="AG26" s="65"/>
      <c r="AH26" s="65"/>
      <c r="AI26" s="65"/>
      <c r="AJ26" s="65"/>
    </row>
    <row r="27" spans="1:36" ht="14.25" customHeight="1" x14ac:dyDescent="0.3">
      <c r="A27" s="7" t="s">
        <v>39</v>
      </c>
      <c r="B27" s="1">
        <v>11318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94">
        <v>8258</v>
      </c>
      <c r="AA27" s="87">
        <f t="shared" si="5"/>
        <v>-10986.848101265823</v>
      </c>
      <c r="AB27" s="87">
        <f t="shared" si="6"/>
        <v>120710831.20028841</v>
      </c>
      <c r="AC27" s="95">
        <f t="shared" si="7"/>
        <v>10986.848101265823</v>
      </c>
      <c r="AD27" s="64"/>
      <c r="AE27" s="64"/>
      <c r="AF27" s="65"/>
      <c r="AG27" s="65"/>
      <c r="AH27" s="65"/>
      <c r="AI27" s="65"/>
      <c r="AJ27" s="65"/>
    </row>
    <row r="28" spans="1:36" ht="14.25" customHeight="1" x14ac:dyDescent="0.3">
      <c r="A28" s="7" t="s">
        <v>60</v>
      </c>
      <c r="B28" s="1">
        <v>12146</v>
      </c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94">
        <v>8546</v>
      </c>
      <c r="AA28" s="87">
        <f t="shared" si="5"/>
        <v>-10698.848101265823</v>
      </c>
      <c r="AB28" s="87">
        <f t="shared" si="6"/>
        <v>114465350.69395931</v>
      </c>
      <c r="AC28" s="95">
        <f t="shared" si="7"/>
        <v>10698.848101265823</v>
      </c>
      <c r="AD28" s="64"/>
      <c r="AE28" s="64"/>
      <c r="AF28" s="65"/>
      <c r="AG28" s="65"/>
      <c r="AH28" s="65"/>
      <c r="AI28" s="65"/>
      <c r="AJ28" s="65"/>
    </row>
    <row r="29" spans="1:36" ht="14.25" customHeight="1" x14ac:dyDescent="0.3">
      <c r="A29" s="7" t="s">
        <v>36</v>
      </c>
      <c r="B29" s="1">
        <v>12228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94">
        <v>8555</v>
      </c>
      <c r="AA29" s="87">
        <f t="shared" si="5"/>
        <v>-10689.848101265823</v>
      </c>
      <c r="AB29" s="87">
        <f t="shared" si="6"/>
        <v>114272852.42813653</v>
      </c>
      <c r="AC29" s="95">
        <f t="shared" si="7"/>
        <v>10689.848101265823</v>
      </c>
      <c r="AD29" s="64"/>
      <c r="AE29" s="64"/>
      <c r="AF29" s="65"/>
      <c r="AG29" s="65"/>
      <c r="AH29" s="65"/>
      <c r="AI29" s="65"/>
      <c r="AJ29" s="65"/>
    </row>
    <row r="30" spans="1:36" ht="14.25" customHeight="1" x14ac:dyDescent="0.3">
      <c r="A30" s="7" t="s">
        <v>79</v>
      </c>
      <c r="B30" s="1">
        <v>12724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94">
        <v>8988</v>
      </c>
      <c r="AA30" s="87">
        <f t="shared" si="5"/>
        <v>-10256.848101265823</v>
      </c>
      <c r="AB30" s="87">
        <f t="shared" si="6"/>
        <v>105202932.97244032</v>
      </c>
      <c r="AC30" s="95">
        <f t="shared" si="7"/>
        <v>10256.848101265823</v>
      </c>
      <c r="AD30" s="64"/>
      <c r="AE30" s="64"/>
      <c r="AF30" s="65"/>
      <c r="AG30" s="65"/>
      <c r="AH30" s="65"/>
      <c r="AI30" s="65"/>
      <c r="AJ30" s="65"/>
    </row>
    <row r="31" spans="1:36" ht="14.25" customHeight="1" x14ac:dyDescent="0.3">
      <c r="A31" s="7" t="s">
        <v>76</v>
      </c>
      <c r="B31" s="1">
        <v>13028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94">
        <v>9031</v>
      </c>
      <c r="AA31" s="87">
        <f t="shared" si="5"/>
        <v>-10213.848101265823</v>
      </c>
      <c r="AB31" s="87">
        <f t="shared" si="6"/>
        <v>104322693.03573146</v>
      </c>
      <c r="AC31" s="95">
        <f t="shared" si="7"/>
        <v>10213.848101265823</v>
      </c>
      <c r="AD31" s="64"/>
      <c r="AE31" s="64"/>
      <c r="AF31" s="65"/>
      <c r="AG31" s="65"/>
      <c r="AH31" s="65"/>
      <c r="AI31" s="65"/>
      <c r="AJ31" s="65"/>
    </row>
    <row r="32" spans="1:36" ht="14.25" customHeight="1" x14ac:dyDescent="0.3">
      <c r="A32" s="7" t="s">
        <v>84</v>
      </c>
      <c r="B32" s="1">
        <v>13048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94">
        <v>9114</v>
      </c>
      <c r="AA32" s="87">
        <f t="shared" si="5"/>
        <v>-10130.848101265823</v>
      </c>
      <c r="AB32" s="87">
        <f t="shared" si="6"/>
        <v>102634083.25092134</v>
      </c>
      <c r="AC32" s="95">
        <f t="shared" si="7"/>
        <v>10130.848101265823</v>
      </c>
      <c r="AD32" s="64"/>
      <c r="AE32" s="64"/>
      <c r="AF32" s="65"/>
      <c r="AG32" s="65"/>
      <c r="AH32" s="65"/>
      <c r="AI32" s="65"/>
      <c r="AJ32" s="65"/>
    </row>
    <row r="33" spans="1:36" ht="14.25" customHeight="1" x14ac:dyDescent="0.3">
      <c r="A33" s="7" t="s">
        <v>33</v>
      </c>
      <c r="B33" s="1">
        <v>13234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94">
        <v>10023</v>
      </c>
      <c r="AA33" s="87">
        <f t="shared" si="5"/>
        <v>-9221.8481012658231</v>
      </c>
      <c r="AB33" s="87">
        <f t="shared" si="6"/>
        <v>85042482.402820066</v>
      </c>
      <c r="AC33" s="95">
        <f t="shared" si="7"/>
        <v>9221.8481012658231</v>
      </c>
      <c r="AD33" s="64"/>
      <c r="AE33" s="64"/>
      <c r="AF33" s="65"/>
      <c r="AG33" s="65"/>
      <c r="AH33" s="65"/>
      <c r="AI33" s="65"/>
      <c r="AJ33" s="65"/>
    </row>
    <row r="34" spans="1:36" ht="14.25" customHeight="1" x14ac:dyDescent="0.3">
      <c r="A34" s="7" t="s">
        <v>73</v>
      </c>
      <c r="B34" s="1">
        <v>13253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94">
        <v>10839</v>
      </c>
      <c r="AA34" s="87">
        <f t="shared" si="5"/>
        <v>-8405.8481012658231</v>
      </c>
      <c r="AB34" s="87">
        <f t="shared" si="6"/>
        <v>70658282.301554248</v>
      </c>
      <c r="AC34" s="95">
        <f t="shared" si="7"/>
        <v>8405.8481012658231</v>
      </c>
      <c r="AD34" s="64"/>
      <c r="AE34" s="64"/>
      <c r="AF34" s="65"/>
      <c r="AG34" s="65"/>
      <c r="AH34" s="65"/>
      <c r="AI34" s="65"/>
      <c r="AJ34" s="65"/>
    </row>
    <row r="35" spans="1:36" ht="14.25" customHeight="1" x14ac:dyDescent="0.3">
      <c r="A35" s="7" t="s">
        <v>55</v>
      </c>
      <c r="B35" s="1">
        <v>13449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94">
        <v>11318</v>
      </c>
      <c r="AA35" s="87">
        <f t="shared" si="5"/>
        <v>-7926.8481012658231</v>
      </c>
      <c r="AB35" s="87">
        <f t="shared" si="6"/>
        <v>62834920.820541583</v>
      </c>
      <c r="AC35" s="95">
        <f t="shared" si="7"/>
        <v>7926.8481012658231</v>
      </c>
      <c r="AD35" s="64"/>
      <c r="AE35" s="64"/>
      <c r="AF35" s="65"/>
      <c r="AG35" s="65"/>
      <c r="AH35" s="65"/>
      <c r="AI35" s="65"/>
      <c r="AJ35" s="65"/>
    </row>
    <row r="36" spans="1:36" ht="14.25" customHeight="1" x14ac:dyDescent="0.3">
      <c r="A36" s="7" t="s">
        <v>44</v>
      </c>
      <c r="B36" s="1">
        <v>13520</v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94">
        <v>12146</v>
      </c>
      <c r="AA36" s="87">
        <f t="shared" si="5"/>
        <v>-7098.8481012658231</v>
      </c>
      <c r="AB36" s="87">
        <f t="shared" si="6"/>
        <v>50393644.36484538</v>
      </c>
      <c r="AC36" s="95">
        <f t="shared" si="7"/>
        <v>7098.8481012658231</v>
      </c>
      <c r="AD36" s="64"/>
      <c r="AE36" s="64"/>
      <c r="AF36" s="65"/>
      <c r="AG36" s="65"/>
      <c r="AH36" s="65"/>
      <c r="AI36" s="65"/>
      <c r="AJ36" s="65"/>
    </row>
    <row r="37" spans="1:36" ht="14.25" customHeight="1" x14ac:dyDescent="0.3">
      <c r="A37" s="7" t="s">
        <v>21</v>
      </c>
      <c r="B37" s="1">
        <v>13573</v>
      </c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94">
        <v>12228</v>
      </c>
      <c r="AA37" s="87">
        <f t="shared" si="5"/>
        <v>-7016.8481012658231</v>
      </c>
      <c r="AB37" s="87">
        <f t="shared" si="6"/>
        <v>49236157.276237786</v>
      </c>
      <c r="AC37" s="95">
        <f t="shared" si="7"/>
        <v>7016.8481012658231</v>
      </c>
      <c r="AD37" s="64"/>
      <c r="AE37" s="64"/>
      <c r="AF37" s="65"/>
      <c r="AG37" s="65"/>
      <c r="AH37" s="65"/>
      <c r="AI37" s="65"/>
      <c r="AJ37" s="65"/>
    </row>
    <row r="38" spans="1:36" ht="14.25" customHeight="1" x14ac:dyDescent="0.3">
      <c r="A38" s="7" t="s">
        <v>18</v>
      </c>
      <c r="B38" s="1">
        <v>13752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94">
        <v>12724</v>
      </c>
      <c r="AA38" s="87">
        <f t="shared" si="5"/>
        <v>-6520.8481012658231</v>
      </c>
      <c r="AB38" s="87">
        <f t="shared" si="6"/>
        <v>42521459.959782086</v>
      </c>
      <c r="AC38" s="95">
        <f t="shared" si="7"/>
        <v>6520.8481012658231</v>
      </c>
      <c r="AD38" s="64"/>
      <c r="AE38" s="64"/>
      <c r="AF38" s="65"/>
      <c r="AG38" s="65"/>
      <c r="AH38" s="65"/>
      <c r="AI38" s="65"/>
      <c r="AJ38" s="65"/>
    </row>
    <row r="39" spans="1:36" ht="14.25" customHeight="1" x14ac:dyDescent="0.3">
      <c r="A39" s="7" t="s">
        <v>31</v>
      </c>
      <c r="B39" s="1">
        <v>13903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94">
        <v>13028</v>
      </c>
      <c r="AA39" s="87">
        <f t="shared" si="5"/>
        <v>-6216.8481012658231</v>
      </c>
      <c r="AB39" s="87">
        <f t="shared" si="6"/>
        <v>38649200.314212471</v>
      </c>
      <c r="AC39" s="95">
        <f t="shared" si="7"/>
        <v>6216.8481012658231</v>
      </c>
      <c r="AD39" s="64"/>
      <c r="AE39" s="64"/>
      <c r="AF39" s="65"/>
      <c r="AG39" s="65"/>
      <c r="AH39" s="65"/>
      <c r="AI39" s="65"/>
      <c r="AJ39" s="65"/>
    </row>
    <row r="40" spans="1:36" ht="14.25" customHeight="1" x14ac:dyDescent="0.3">
      <c r="A40" s="7" t="s">
        <v>9</v>
      </c>
      <c r="B40" s="1">
        <v>14059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94">
        <v>13048</v>
      </c>
      <c r="AA40" s="87">
        <f t="shared" si="5"/>
        <v>-6196.8481012658231</v>
      </c>
      <c r="AB40" s="87">
        <f t="shared" si="6"/>
        <v>38400926.390161835</v>
      </c>
      <c r="AC40" s="95">
        <f t="shared" si="7"/>
        <v>6196.8481012658231</v>
      </c>
      <c r="AD40" s="64"/>
      <c r="AE40" s="64"/>
      <c r="AF40" s="65"/>
      <c r="AG40" s="65"/>
      <c r="AH40" s="65"/>
      <c r="AI40" s="65"/>
      <c r="AJ40" s="65"/>
    </row>
    <row r="41" spans="1:36" ht="14.25" customHeight="1" x14ac:dyDescent="0.3">
      <c r="A41" s="7" t="s">
        <v>52</v>
      </c>
      <c r="B41" s="1">
        <v>14143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94">
        <v>13234</v>
      </c>
      <c r="AA41" s="87">
        <f t="shared" si="5"/>
        <v>-6010.8481012658231</v>
      </c>
      <c r="AB41" s="87">
        <f t="shared" si="6"/>
        <v>36130294.896490954</v>
      </c>
      <c r="AC41" s="95">
        <f t="shared" si="7"/>
        <v>6010.8481012658231</v>
      </c>
      <c r="AD41" s="64"/>
      <c r="AE41" s="64"/>
      <c r="AF41" s="65"/>
      <c r="AG41" s="65"/>
      <c r="AH41" s="65"/>
      <c r="AI41" s="65"/>
      <c r="AJ41" s="65"/>
    </row>
    <row r="42" spans="1:36" ht="14.25" customHeight="1" x14ac:dyDescent="0.3">
      <c r="A42" s="7" t="s">
        <v>10</v>
      </c>
      <c r="B42" s="1">
        <v>14341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94">
        <v>13253</v>
      </c>
      <c r="AA42" s="87">
        <f t="shared" si="5"/>
        <v>-5991.8481012658231</v>
      </c>
      <c r="AB42" s="87">
        <f t="shared" si="6"/>
        <v>35902243.668642849</v>
      </c>
      <c r="AC42" s="95">
        <f t="shared" si="7"/>
        <v>5991.8481012658231</v>
      </c>
      <c r="AD42" s="64"/>
      <c r="AE42" s="64"/>
      <c r="AF42" s="65"/>
      <c r="AG42" s="65"/>
      <c r="AH42" s="65"/>
      <c r="AI42" s="65"/>
      <c r="AJ42" s="65"/>
    </row>
    <row r="43" spans="1:36" ht="14.25" customHeight="1" x14ac:dyDescent="0.3">
      <c r="A43" s="7" t="s">
        <v>71</v>
      </c>
      <c r="B43" s="1">
        <v>14767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94">
        <v>13449</v>
      </c>
      <c r="AA43" s="87">
        <f t="shared" si="5"/>
        <v>-5795.8481012658231</v>
      </c>
      <c r="AB43" s="87">
        <f t="shared" si="6"/>
        <v>33591855.212946646</v>
      </c>
      <c r="AC43" s="95">
        <f t="shared" si="7"/>
        <v>5795.8481012658231</v>
      </c>
      <c r="AD43" s="64"/>
      <c r="AE43" s="64"/>
      <c r="AF43" s="65"/>
      <c r="AG43" s="65"/>
      <c r="AH43" s="65"/>
      <c r="AI43" s="65"/>
      <c r="AJ43" s="65"/>
    </row>
    <row r="44" spans="1:36" ht="14.25" customHeight="1" x14ac:dyDescent="0.3">
      <c r="A44" s="7" t="s">
        <v>11</v>
      </c>
      <c r="B44" s="1">
        <v>15178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94">
        <v>13520</v>
      </c>
      <c r="AA44" s="87">
        <f t="shared" si="5"/>
        <v>-5724.8481012658231</v>
      </c>
      <c r="AB44" s="87">
        <f t="shared" si="6"/>
        <v>32773885.782566901</v>
      </c>
      <c r="AC44" s="95">
        <f t="shared" si="7"/>
        <v>5724.8481012658231</v>
      </c>
      <c r="AD44" s="64"/>
      <c r="AE44" s="64"/>
      <c r="AF44" s="65"/>
      <c r="AG44" s="65"/>
      <c r="AH44" s="65"/>
      <c r="AI44" s="65"/>
      <c r="AJ44" s="65"/>
    </row>
    <row r="45" spans="1:36" ht="14.25" customHeight="1" x14ac:dyDescent="0.3">
      <c r="A45" s="7" t="s">
        <v>30</v>
      </c>
      <c r="B45" s="1">
        <v>15656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94">
        <v>13573</v>
      </c>
      <c r="AA45" s="87">
        <f t="shared" si="5"/>
        <v>-5671.8481012658231</v>
      </c>
      <c r="AB45" s="87">
        <f t="shared" si="6"/>
        <v>32169860.883832723</v>
      </c>
      <c r="AC45" s="95">
        <f t="shared" si="7"/>
        <v>5671.8481012658231</v>
      </c>
      <c r="AD45" s="64"/>
      <c r="AE45" s="64"/>
      <c r="AF45" s="65"/>
      <c r="AG45" s="65"/>
      <c r="AH45" s="65"/>
      <c r="AI45" s="65"/>
      <c r="AJ45" s="65"/>
    </row>
    <row r="46" spans="1:36" ht="14.25" customHeight="1" x14ac:dyDescent="0.3">
      <c r="A46" s="7" t="s">
        <v>87</v>
      </c>
      <c r="B46" s="1">
        <v>16088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94">
        <v>13752</v>
      </c>
      <c r="AA46" s="87">
        <f t="shared" si="5"/>
        <v>-5492.8481012658231</v>
      </c>
      <c r="AB46" s="87">
        <f t="shared" si="6"/>
        <v>30171380.263579559</v>
      </c>
      <c r="AC46" s="95">
        <f t="shared" si="7"/>
        <v>5492.8481012658231</v>
      </c>
      <c r="AD46" s="64"/>
      <c r="AE46" s="64"/>
      <c r="AF46" s="65"/>
      <c r="AG46" s="65"/>
      <c r="AH46" s="65"/>
      <c r="AI46" s="65"/>
      <c r="AJ46" s="65"/>
    </row>
    <row r="47" spans="1:36" ht="14.25" customHeight="1" x14ac:dyDescent="0.3">
      <c r="A47" s="7" t="s">
        <v>56</v>
      </c>
      <c r="B47" s="1">
        <v>17204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94">
        <v>13903</v>
      </c>
      <c r="AA47" s="87">
        <f t="shared" si="5"/>
        <v>-5341.8481012658231</v>
      </c>
      <c r="AB47" s="87">
        <f t="shared" si="6"/>
        <v>28535341.136997279</v>
      </c>
      <c r="AC47" s="95">
        <f t="shared" si="7"/>
        <v>5341.8481012658231</v>
      </c>
      <c r="AD47" s="64"/>
      <c r="AE47" s="64"/>
      <c r="AF47" s="65"/>
      <c r="AG47" s="65"/>
      <c r="AH47" s="65"/>
      <c r="AI47" s="65"/>
      <c r="AJ47" s="65"/>
    </row>
    <row r="48" spans="1:36" ht="14.25" customHeight="1" x14ac:dyDescent="0.3">
      <c r="A48" s="7" t="s">
        <v>22</v>
      </c>
      <c r="B48" s="1">
        <v>17209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94">
        <v>14059</v>
      </c>
      <c r="AA48" s="87">
        <f t="shared" si="5"/>
        <v>-5185.8481012658231</v>
      </c>
      <c r="AB48" s="87">
        <f t="shared" si="6"/>
        <v>26893020.529402342</v>
      </c>
      <c r="AC48" s="95">
        <f t="shared" si="7"/>
        <v>5185.8481012658231</v>
      </c>
      <c r="AD48" s="64"/>
      <c r="AE48" s="64"/>
      <c r="AF48" s="65"/>
      <c r="AG48" s="65"/>
      <c r="AH48" s="65"/>
      <c r="AI48" s="65"/>
      <c r="AJ48" s="65"/>
    </row>
    <row r="49" spans="1:36" ht="14.25" customHeight="1" x14ac:dyDescent="0.3">
      <c r="A49" s="7" t="s">
        <v>14</v>
      </c>
      <c r="B49" s="1">
        <v>17314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94">
        <v>14143</v>
      </c>
      <c r="AA49" s="87">
        <f t="shared" si="5"/>
        <v>-5101.8481012658231</v>
      </c>
      <c r="AB49" s="87">
        <f t="shared" si="6"/>
        <v>26028854.048389684</v>
      </c>
      <c r="AC49" s="95">
        <f t="shared" si="7"/>
        <v>5101.8481012658231</v>
      </c>
      <c r="AD49" s="64"/>
      <c r="AE49" s="64"/>
      <c r="AF49" s="65"/>
      <c r="AG49" s="65"/>
      <c r="AH49" s="65"/>
      <c r="AI49" s="65"/>
      <c r="AJ49" s="65"/>
    </row>
    <row r="50" spans="1:36" ht="14.25" customHeight="1" x14ac:dyDescent="0.3">
      <c r="A50" s="7" t="s">
        <v>12</v>
      </c>
      <c r="B50" s="1">
        <v>17371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94">
        <v>14341</v>
      </c>
      <c r="AA50" s="87">
        <f t="shared" si="5"/>
        <v>-4903.8481012658231</v>
      </c>
      <c r="AB50" s="87">
        <f t="shared" si="6"/>
        <v>24047726.200288419</v>
      </c>
      <c r="AC50" s="95">
        <f t="shared" si="7"/>
        <v>4903.8481012658231</v>
      </c>
      <c r="AD50" s="64"/>
      <c r="AE50" s="64"/>
      <c r="AF50" s="65"/>
      <c r="AG50" s="65"/>
      <c r="AH50" s="65"/>
      <c r="AI50" s="65"/>
      <c r="AJ50" s="65"/>
    </row>
    <row r="51" spans="1:36" ht="14.25" customHeight="1" x14ac:dyDescent="0.3">
      <c r="A51" s="7" t="s">
        <v>75</v>
      </c>
      <c r="B51" s="1">
        <v>17392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94">
        <v>14767</v>
      </c>
      <c r="AA51" s="87">
        <f t="shared" si="5"/>
        <v>-4477.8481012658231</v>
      </c>
      <c r="AB51" s="87">
        <f t="shared" si="6"/>
        <v>20051123.618009936</v>
      </c>
      <c r="AC51" s="95">
        <f t="shared" si="7"/>
        <v>4477.8481012658231</v>
      </c>
      <c r="AD51" s="64"/>
      <c r="AE51" s="64"/>
      <c r="AF51" s="65"/>
      <c r="AG51" s="65"/>
      <c r="AH51" s="65"/>
      <c r="AI51" s="65"/>
      <c r="AJ51" s="65"/>
    </row>
    <row r="52" spans="1:36" ht="14.25" customHeight="1" x14ac:dyDescent="0.3">
      <c r="A52" s="7" t="s">
        <v>7</v>
      </c>
      <c r="B52" s="1">
        <v>18422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94">
        <v>15178</v>
      </c>
      <c r="AA52" s="87">
        <f t="shared" si="5"/>
        <v>-4066.8481012658231</v>
      </c>
      <c r="AB52" s="87">
        <f t="shared" si="6"/>
        <v>16539253.478769431</v>
      </c>
      <c r="AC52" s="95">
        <f t="shared" si="7"/>
        <v>4066.8481012658231</v>
      </c>
      <c r="AD52" s="64"/>
      <c r="AE52" s="64"/>
      <c r="AF52" s="65"/>
      <c r="AG52" s="65"/>
      <c r="AH52" s="65"/>
      <c r="AI52" s="65"/>
      <c r="AJ52" s="65"/>
    </row>
    <row r="53" spans="1:36" ht="14.25" customHeight="1" x14ac:dyDescent="0.3">
      <c r="A53" s="7" t="s">
        <v>26</v>
      </c>
      <c r="B53" s="1">
        <v>18921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94">
        <v>15656</v>
      </c>
      <c r="AA53" s="87">
        <f t="shared" si="5"/>
        <v>-3588.8481012658231</v>
      </c>
      <c r="AB53" s="87">
        <f t="shared" si="6"/>
        <v>12879830.693959303</v>
      </c>
      <c r="AC53" s="95">
        <f t="shared" si="7"/>
        <v>3588.8481012658231</v>
      </c>
      <c r="AD53" s="64"/>
      <c r="AE53" s="64"/>
      <c r="AF53" s="65"/>
      <c r="AG53" s="65"/>
      <c r="AH53" s="65"/>
      <c r="AI53" s="65"/>
      <c r="AJ53" s="65"/>
    </row>
    <row r="54" spans="1:36" ht="14.25" customHeight="1" x14ac:dyDescent="0.3">
      <c r="A54" s="7" t="s">
        <v>8</v>
      </c>
      <c r="B54" s="1">
        <v>19074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94">
        <v>16088</v>
      </c>
      <c r="AA54" s="87">
        <f t="shared" si="5"/>
        <v>-3156.8481012658231</v>
      </c>
      <c r="AB54" s="87">
        <f t="shared" si="6"/>
        <v>9965689.9344656318</v>
      </c>
      <c r="AC54" s="95">
        <f t="shared" si="7"/>
        <v>3156.8481012658231</v>
      </c>
      <c r="AD54" s="64"/>
      <c r="AE54" s="64"/>
      <c r="AF54" s="65"/>
      <c r="AG54" s="65"/>
      <c r="AH54" s="65"/>
      <c r="AI54" s="65"/>
      <c r="AJ54" s="65"/>
    </row>
    <row r="55" spans="1:36" ht="14.25" customHeight="1" x14ac:dyDescent="0.3">
      <c r="A55" s="7" t="s">
        <v>51</v>
      </c>
      <c r="B55" s="1">
        <v>20639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94">
        <v>17204</v>
      </c>
      <c r="AA55" s="87">
        <f t="shared" si="5"/>
        <v>-2040.8481012658231</v>
      </c>
      <c r="AB55" s="87">
        <f t="shared" si="6"/>
        <v>4165060.9724403154</v>
      </c>
      <c r="AC55" s="95">
        <f t="shared" si="7"/>
        <v>2040.8481012658231</v>
      </c>
      <c r="AD55" s="64"/>
      <c r="AE55" s="64"/>
      <c r="AF55" s="65"/>
      <c r="AG55" s="65"/>
      <c r="AH55" s="65"/>
      <c r="AI55" s="65"/>
      <c r="AJ55" s="65"/>
    </row>
    <row r="56" spans="1:36" ht="14.25" customHeight="1" x14ac:dyDescent="0.3">
      <c r="A56" s="7" t="s">
        <v>81</v>
      </c>
      <c r="B56" s="1">
        <v>20977</v>
      </c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94">
        <v>17209</v>
      </c>
      <c r="AA56" s="87">
        <f t="shared" si="5"/>
        <v>-2035.8481012658231</v>
      </c>
      <c r="AB56" s="87">
        <f t="shared" si="6"/>
        <v>4144677.4914276567</v>
      </c>
      <c r="AC56" s="95">
        <f t="shared" si="7"/>
        <v>2035.8481012658231</v>
      </c>
      <c r="AD56" s="64"/>
      <c r="AE56" s="64"/>
      <c r="AF56" s="65"/>
      <c r="AG56" s="65"/>
      <c r="AH56" s="65"/>
      <c r="AI56" s="65"/>
      <c r="AJ56" s="65"/>
    </row>
    <row r="57" spans="1:36" ht="14.25" customHeight="1" x14ac:dyDescent="0.3">
      <c r="A57" s="7" t="s">
        <v>57</v>
      </c>
      <c r="B57" s="1">
        <v>21682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94">
        <v>17314</v>
      </c>
      <c r="AA57" s="87">
        <f t="shared" si="5"/>
        <v>-1930.8481012658231</v>
      </c>
      <c r="AB57" s="87">
        <f t="shared" si="6"/>
        <v>3728174.3901618342</v>
      </c>
      <c r="AC57" s="95">
        <f t="shared" si="7"/>
        <v>1930.8481012658231</v>
      </c>
      <c r="AD57" s="64"/>
      <c r="AE57" s="64"/>
      <c r="AF57" s="65"/>
      <c r="AG57" s="65"/>
      <c r="AH57" s="65"/>
      <c r="AI57" s="65"/>
      <c r="AJ57" s="65"/>
    </row>
    <row r="58" spans="1:36" ht="14.25" customHeight="1" x14ac:dyDescent="0.3">
      <c r="A58" s="7" t="s">
        <v>74</v>
      </c>
      <c r="B58" s="1">
        <v>21721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94">
        <v>17371</v>
      </c>
      <c r="AA58" s="87">
        <f t="shared" si="5"/>
        <v>-1873.8481012658231</v>
      </c>
      <c r="AB58" s="87">
        <f t="shared" si="6"/>
        <v>3511306.7066175304</v>
      </c>
      <c r="AC58" s="95">
        <f t="shared" si="7"/>
        <v>1873.8481012658231</v>
      </c>
      <c r="AD58" s="64"/>
      <c r="AE58" s="64"/>
      <c r="AF58" s="65"/>
      <c r="AG58" s="65"/>
      <c r="AH58" s="65"/>
      <c r="AI58" s="65"/>
      <c r="AJ58" s="65"/>
    </row>
    <row r="59" spans="1:36" ht="14.25" customHeight="1" x14ac:dyDescent="0.3">
      <c r="A59" s="7" t="s">
        <v>80</v>
      </c>
      <c r="B59" s="1">
        <v>22695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94">
        <v>17392</v>
      </c>
      <c r="AA59" s="87">
        <f t="shared" si="5"/>
        <v>-1852.8481012658231</v>
      </c>
      <c r="AB59" s="87">
        <f t="shared" si="6"/>
        <v>3433046.0863643656</v>
      </c>
      <c r="AC59" s="95">
        <f t="shared" si="7"/>
        <v>1852.8481012658231</v>
      </c>
      <c r="AD59" s="64"/>
      <c r="AE59" s="64"/>
      <c r="AF59" s="65"/>
      <c r="AG59" s="65"/>
      <c r="AH59" s="65"/>
      <c r="AI59" s="65"/>
      <c r="AJ59" s="65"/>
    </row>
    <row r="60" spans="1:36" ht="14.25" customHeight="1" x14ac:dyDescent="0.3">
      <c r="A60" s="7" t="s">
        <v>17</v>
      </c>
      <c r="B60" s="1">
        <v>22703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94">
        <v>18422</v>
      </c>
      <c r="AA60" s="87">
        <f t="shared" si="5"/>
        <v>-822.84810126582306</v>
      </c>
      <c r="AB60" s="87">
        <f t="shared" si="6"/>
        <v>677078.99775677023</v>
      </c>
      <c r="AC60" s="95">
        <f t="shared" si="7"/>
        <v>822.84810126582306</v>
      </c>
      <c r="AD60" s="64"/>
      <c r="AE60" s="64"/>
      <c r="AF60" s="65"/>
      <c r="AG60" s="65"/>
      <c r="AH60" s="65"/>
      <c r="AI60" s="65"/>
      <c r="AJ60" s="65"/>
    </row>
    <row r="61" spans="1:36" ht="14.25" customHeight="1" x14ac:dyDescent="0.3">
      <c r="A61" s="7" t="s">
        <v>41</v>
      </c>
      <c r="B61" s="1">
        <v>24493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94">
        <v>18921</v>
      </c>
      <c r="AA61" s="87">
        <f t="shared" si="5"/>
        <v>-323.84810126582306</v>
      </c>
      <c r="AB61" s="87">
        <f t="shared" si="6"/>
        <v>104877.59269347879</v>
      </c>
      <c r="AC61" s="95">
        <f t="shared" si="7"/>
        <v>323.84810126582306</v>
      </c>
      <c r="AD61" s="64"/>
      <c r="AE61" s="64"/>
      <c r="AF61" s="65"/>
      <c r="AG61" s="65"/>
      <c r="AH61" s="65"/>
      <c r="AI61" s="65"/>
      <c r="AJ61" s="65"/>
    </row>
    <row r="62" spans="1:36" ht="14.25" customHeight="1" x14ac:dyDescent="0.3">
      <c r="A62" s="7" t="s">
        <v>77</v>
      </c>
      <c r="B62" s="1">
        <v>24757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94">
        <v>19074</v>
      </c>
      <c r="AA62" s="87">
        <f t="shared" si="5"/>
        <v>-170.84810126582306</v>
      </c>
      <c r="AB62" s="87">
        <f t="shared" si="6"/>
        <v>29189.073706136933</v>
      </c>
      <c r="AC62" s="95">
        <f t="shared" si="7"/>
        <v>170.84810126582306</v>
      </c>
      <c r="AD62" s="64"/>
      <c r="AE62" s="64"/>
      <c r="AF62" s="65"/>
      <c r="AG62" s="65"/>
      <c r="AH62" s="65"/>
      <c r="AI62" s="65"/>
      <c r="AJ62" s="65"/>
    </row>
    <row r="63" spans="1:36" ht="14.25" customHeight="1" x14ac:dyDescent="0.3">
      <c r="A63" s="7" t="s">
        <v>32</v>
      </c>
      <c r="B63" s="1">
        <v>27427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94">
        <v>20639</v>
      </c>
      <c r="AA63" s="87">
        <f t="shared" si="5"/>
        <v>1394.1518987341769</v>
      </c>
      <c r="AB63" s="87">
        <f t="shared" si="6"/>
        <v>1943659.5167441107</v>
      </c>
      <c r="AC63" s="95">
        <f t="shared" si="7"/>
        <v>1394.1518987341769</v>
      </c>
      <c r="AD63" s="64"/>
      <c r="AE63" s="64"/>
      <c r="AF63" s="65"/>
      <c r="AG63" s="65"/>
      <c r="AH63" s="65"/>
      <c r="AI63" s="65"/>
      <c r="AJ63" s="65"/>
    </row>
    <row r="64" spans="1:36" ht="14.25" customHeight="1" x14ac:dyDescent="0.3">
      <c r="A64" s="7" t="s">
        <v>42</v>
      </c>
      <c r="B64" s="1">
        <v>27483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94">
        <v>20977</v>
      </c>
      <c r="AA64" s="87">
        <f t="shared" si="5"/>
        <v>1732.1518987341769</v>
      </c>
      <c r="AB64" s="87">
        <f t="shared" si="6"/>
        <v>3000350.2002884145</v>
      </c>
      <c r="AC64" s="95">
        <f t="shared" si="7"/>
        <v>1732.1518987341769</v>
      </c>
      <c r="AD64" s="64"/>
      <c r="AE64" s="64"/>
      <c r="AF64" s="65"/>
      <c r="AG64" s="65"/>
      <c r="AH64" s="65"/>
      <c r="AI64" s="65"/>
      <c r="AJ64" s="65"/>
    </row>
    <row r="65" spans="1:36" ht="14.25" customHeight="1" x14ac:dyDescent="0.3">
      <c r="A65" s="7" t="s">
        <v>78</v>
      </c>
      <c r="B65" s="1">
        <v>28075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94">
        <v>21682</v>
      </c>
      <c r="AA65" s="87">
        <f t="shared" si="5"/>
        <v>2437.1518987341769</v>
      </c>
      <c r="AB65" s="87">
        <f t="shared" si="6"/>
        <v>5939709.3775036037</v>
      </c>
      <c r="AC65" s="95">
        <f t="shared" si="7"/>
        <v>2437.1518987341769</v>
      </c>
      <c r="AD65" s="64"/>
      <c r="AE65" s="64"/>
      <c r="AF65" s="65"/>
      <c r="AG65" s="65"/>
      <c r="AH65" s="65"/>
      <c r="AI65" s="65"/>
      <c r="AJ65" s="65"/>
    </row>
    <row r="66" spans="1:36" ht="14.25" customHeight="1" x14ac:dyDescent="0.3">
      <c r="A66" s="7" t="s">
        <v>15</v>
      </c>
      <c r="B66" s="1">
        <v>29530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94">
        <v>21721</v>
      </c>
      <c r="AA66" s="87">
        <f t="shared" si="5"/>
        <v>2476.1518987341769</v>
      </c>
      <c r="AB66" s="87">
        <f t="shared" si="6"/>
        <v>6131328.2256048694</v>
      </c>
      <c r="AC66" s="95">
        <f t="shared" si="7"/>
        <v>2476.1518987341769</v>
      </c>
      <c r="AD66" s="64"/>
      <c r="AE66" s="64"/>
      <c r="AF66" s="65"/>
      <c r="AG66" s="65"/>
      <c r="AH66" s="65"/>
      <c r="AI66" s="65"/>
      <c r="AJ66" s="65"/>
    </row>
    <row r="67" spans="1:36" ht="14.25" customHeight="1" x14ac:dyDescent="0.3">
      <c r="A67" s="7" t="s">
        <v>68</v>
      </c>
      <c r="B67" s="1">
        <v>30563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94">
        <v>22695</v>
      </c>
      <c r="AA67" s="87">
        <f t="shared" si="5"/>
        <v>3450.1518987341769</v>
      </c>
      <c r="AB67" s="87">
        <f t="shared" si="6"/>
        <v>11903548.124339046</v>
      </c>
      <c r="AC67" s="95">
        <f t="shared" si="7"/>
        <v>3450.1518987341769</v>
      </c>
      <c r="AD67" s="64"/>
      <c r="AE67" s="64"/>
      <c r="AF67" s="65"/>
      <c r="AG67" s="65"/>
      <c r="AH67" s="65"/>
      <c r="AI67" s="65"/>
      <c r="AJ67" s="65"/>
    </row>
    <row r="68" spans="1:36" ht="14.25" customHeight="1" x14ac:dyDescent="0.3">
      <c r="A68" s="7" t="s">
        <v>46</v>
      </c>
      <c r="B68" s="1">
        <v>32336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94">
        <v>22703</v>
      </c>
      <c r="AA68" s="87">
        <f t="shared" si="5"/>
        <v>3458.1518987341769</v>
      </c>
      <c r="AB68" s="87">
        <f t="shared" si="6"/>
        <v>11958814.554718792</v>
      </c>
      <c r="AC68" s="95">
        <f t="shared" si="7"/>
        <v>3458.1518987341769</v>
      </c>
      <c r="AD68" s="64"/>
      <c r="AE68" s="64"/>
      <c r="AF68" s="65"/>
      <c r="AG68" s="65"/>
      <c r="AH68" s="65"/>
      <c r="AI68" s="65"/>
      <c r="AJ68" s="65"/>
    </row>
    <row r="69" spans="1:36" ht="14.25" customHeight="1" x14ac:dyDescent="0.3">
      <c r="A69" s="7" t="s">
        <v>72</v>
      </c>
      <c r="B69" s="1">
        <v>35177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94">
        <v>24493</v>
      </c>
      <c r="AA69" s="87">
        <f t="shared" si="5"/>
        <v>5248.1518987341769</v>
      </c>
      <c r="AB69" s="87">
        <f t="shared" si="6"/>
        <v>27543098.352187146</v>
      </c>
      <c r="AC69" s="95">
        <f t="shared" si="7"/>
        <v>5248.1518987341769</v>
      </c>
      <c r="AD69" s="64"/>
      <c r="AE69" s="64"/>
      <c r="AF69" s="65"/>
      <c r="AG69" s="65"/>
      <c r="AH69" s="65"/>
      <c r="AI69" s="65"/>
      <c r="AJ69" s="65"/>
    </row>
    <row r="70" spans="1:36" ht="14.25" customHeight="1" x14ac:dyDescent="0.3">
      <c r="A70" s="7" t="s">
        <v>13</v>
      </c>
      <c r="B70" s="1">
        <v>38687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94">
        <v>24757</v>
      </c>
      <c r="AA70" s="87">
        <f t="shared" si="5"/>
        <v>5512.1518987341769</v>
      </c>
      <c r="AB70" s="87">
        <f t="shared" si="6"/>
        <v>30383818.554718792</v>
      </c>
      <c r="AC70" s="95">
        <f t="shared" si="7"/>
        <v>5512.1518987341769</v>
      </c>
      <c r="AD70" s="64"/>
      <c r="AE70" s="64"/>
      <c r="AF70" s="65"/>
      <c r="AG70" s="65"/>
      <c r="AH70" s="65"/>
      <c r="AI70" s="65"/>
      <c r="AJ70" s="65"/>
    </row>
    <row r="71" spans="1:36" ht="14.25" customHeight="1" x14ac:dyDescent="0.3">
      <c r="A71" s="7" t="s">
        <v>6</v>
      </c>
      <c r="B71" s="1">
        <v>39029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94">
        <v>27427</v>
      </c>
      <c r="AA71" s="87">
        <f t="shared" si="5"/>
        <v>8182.1518987341769</v>
      </c>
      <c r="AB71" s="87">
        <f t="shared" si="6"/>
        <v>66947609.693959296</v>
      </c>
      <c r="AC71" s="95">
        <f t="shared" si="7"/>
        <v>8182.1518987341769</v>
      </c>
      <c r="AD71" s="64"/>
      <c r="AE71" s="64"/>
      <c r="AF71" s="65"/>
      <c r="AG71" s="65"/>
      <c r="AH71" s="65"/>
      <c r="AI71" s="65"/>
      <c r="AJ71" s="65"/>
    </row>
    <row r="72" spans="1:36" ht="14.25" customHeight="1" x14ac:dyDescent="0.3">
      <c r="A72" s="7" t="s">
        <v>45</v>
      </c>
      <c r="B72" s="1">
        <v>39694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94">
        <v>27483</v>
      </c>
      <c r="AA72" s="87">
        <f t="shared" si="5"/>
        <v>8238.1518987341769</v>
      </c>
      <c r="AB72" s="87">
        <f t="shared" si="6"/>
        <v>67867146.706617519</v>
      </c>
      <c r="AC72" s="95">
        <f t="shared" si="7"/>
        <v>8238.1518987341769</v>
      </c>
      <c r="AD72" s="64"/>
      <c r="AE72" s="64"/>
      <c r="AF72" s="65"/>
      <c r="AG72" s="65"/>
      <c r="AH72" s="65"/>
      <c r="AI72" s="65"/>
      <c r="AJ72" s="65"/>
    </row>
    <row r="73" spans="1:36" ht="14.25" customHeight="1" x14ac:dyDescent="0.3">
      <c r="A73" s="7" t="s">
        <v>19</v>
      </c>
      <c r="B73" s="1">
        <v>42174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94">
        <v>28075</v>
      </c>
      <c r="AA73" s="87">
        <f t="shared" si="5"/>
        <v>8830.1518987341769</v>
      </c>
      <c r="AB73" s="87">
        <f t="shared" si="6"/>
        <v>77971582.554718792</v>
      </c>
      <c r="AC73" s="95">
        <f t="shared" si="7"/>
        <v>8830.1518987341769</v>
      </c>
      <c r="AD73" s="64"/>
      <c r="AE73" s="64"/>
      <c r="AF73" s="65"/>
      <c r="AG73" s="65"/>
      <c r="AH73" s="65"/>
      <c r="AI73" s="65"/>
      <c r="AJ73" s="65"/>
    </row>
    <row r="74" spans="1:36" ht="14.25" customHeight="1" x14ac:dyDescent="0.3">
      <c r="A74" s="7" t="s">
        <v>38</v>
      </c>
      <c r="B74" s="1">
        <v>42337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94">
        <v>29530</v>
      </c>
      <c r="AA74" s="87">
        <f t="shared" si="5"/>
        <v>10285.151898734177</v>
      </c>
      <c r="AB74" s="87">
        <f t="shared" si="6"/>
        <v>105784349.58003524</v>
      </c>
      <c r="AC74" s="95">
        <f t="shared" si="7"/>
        <v>10285.151898734177</v>
      </c>
      <c r="AD74" s="64"/>
      <c r="AE74" s="64"/>
      <c r="AF74" s="65"/>
      <c r="AG74" s="65"/>
      <c r="AH74" s="65"/>
      <c r="AI74" s="65"/>
      <c r="AJ74" s="65"/>
    </row>
    <row r="75" spans="1:36" ht="14.25" customHeight="1" x14ac:dyDescent="0.3">
      <c r="A75" s="7" t="s">
        <v>67</v>
      </c>
      <c r="B75" s="1">
        <v>44332</v>
      </c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94">
        <v>30563</v>
      </c>
      <c r="AA75" s="87">
        <f t="shared" si="5"/>
        <v>11318.151898734177</v>
      </c>
      <c r="AB75" s="87">
        <f t="shared" si="6"/>
        <v>128100562.40282005</v>
      </c>
      <c r="AC75" s="95">
        <f t="shared" si="7"/>
        <v>11318.151898734177</v>
      </c>
      <c r="AD75" s="64"/>
      <c r="AE75" s="64"/>
      <c r="AF75" s="65"/>
      <c r="AG75" s="65"/>
      <c r="AH75" s="65"/>
      <c r="AI75" s="65"/>
      <c r="AJ75" s="65"/>
    </row>
    <row r="76" spans="1:36" ht="14.25" customHeight="1" x14ac:dyDescent="0.3">
      <c r="A76" s="7" t="s">
        <v>29</v>
      </c>
      <c r="B76" s="1">
        <v>48152</v>
      </c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94">
        <v>32336</v>
      </c>
      <c r="AA76" s="87">
        <f t="shared" si="5"/>
        <v>13091.151898734177</v>
      </c>
      <c r="AB76" s="87">
        <f t="shared" si="6"/>
        <v>171378258.03573143</v>
      </c>
      <c r="AC76" s="95">
        <f t="shared" si="7"/>
        <v>13091.151898734177</v>
      </c>
      <c r="AD76" s="64"/>
      <c r="AE76" s="64"/>
      <c r="AF76" s="65"/>
      <c r="AG76" s="65"/>
      <c r="AH76" s="65"/>
      <c r="AI76" s="65"/>
      <c r="AJ76" s="65"/>
    </row>
    <row r="77" spans="1:36" ht="14.25" customHeight="1" x14ac:dyDescent="0.3">
      <c r="A77" s="7" t="s">
        <v>25</v>
      </c>
      <c r="B77" s="1">
        <v>51730</v>
      </c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94">
        <v>35177</v>
      </c>
      <c r="AA77" s="87">
        <f t="shared" si="5"/>
        <v>15932.151898734177</v>
      </c>
      <c r="AB77" s="87">
        <f t="shared" si="6"/>
        <v>253833464.12433904</v>
      </c>
      <c r="AC77" s="95">
        <f t="shared" si="7"/>
        <v>15932.151898734177</v>
      </c>
      <c r="AD77" s="64"/>
      <c r="AE77" s="64"/>
      <c r="AF77" s="65"/>
      <c r="AG77" s="65"/>
      <c r="AH77" s="65"/>
      <c r="AI77" s="65"/>
      <c r="AJ77" s="65"/>
    </row>
    <row r="78" spans="1:36" ht="14.25" customHeight="1" x14ac:dyDescent="0.3">
      <c r="A78" s="7" t="s">
        <v>62</v>
      </c>
      <c r="B78" s="1">
        <v>53856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94">
        <v>38687</v>
      </c>
      <c r="AA78" s="87">
        <f t="shared" si="5"/>
        <v>19442.151898734177</v>
      </c>
      <c r="AB78" s="87">
        <f t="shared" si="6"/>
        <v>377997270.45345294</v>
      </c>
      <c r="AC78" s="95">
        <f t="shared" si="7"/>
        <v>19442.151898734177</v>
      </c>
      <c r="AD78" s="64"/>
      <c r="AE78" s="64"/>
      <c r="AF78" s="65"/>
      <c r="AG78" s="65"/>
      <c r="AH78" s="65"/>
      <c r="AI78" s="65"/>
      <c r="AJ78" s="65"/>
    </row>
    <row r="79" spans="1:36" ht="14.25" customHeight="1" x14ac:dyDescent="0.3">
      <c r="A79" s="7" t="s">
        <v>40</v>
      </c>
      <c r="B79" s="1">
        <v>54013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94">
        <v>39029</v>
      </c>
      <c r="AA79" s="87">
        <f t="shared" si="5"/>
        <v>19784.151898734177</v>
      </c>
      <c r="AB79" s="87">
        <f t="shared" si="6"/>
        <v>391412666.35218716</v>
      </c>
      <c r="AC79" s="95">
        <f t="shared" si="7"/>
        <v>19784.151898734177</v>
      </c>
      <c r="AD79" s="64"/>
      <c r="AE79" s="64"/>
      <c r="AF79" s="65"/>
      <c r="AG79" s="65"/>
      <c r="AH79" s="65"/>
      <c r="AI79" s="65"/>
      <c r="AJ79" s="65"/>
    </row>
    <row r="80" spans="1:36" ht="14.25" customHeight="1" x14ac:dyDescent="0.3">
      <c r="A80" s="7" t="s">
        <v>50</v>
      </c>
      <c r="B80" s="1">
        <v>55883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94">
        <v>39694</v>
      </c>
      <c r="AA80" s="87">
        <f t="shared" si="5"/>
        <v>20449.151898734177</v>
      </c>
      <c r="AB80" s="87">
        <f t="shared" si="6"/>
        <v>418167813.37750357</v>
      </c>
      <c r="AC80" s="95">
        <f t="shared" si="7"/>
        <v>20449.151898734177</v>
      </c>
      <c r="AD80" s="64"/>
      <c r="AE80" s="64"/>
      <c r="AF80" s="65"/>
      <c r="AG80" s="65"/>
      <c r="AH80" s="65"/>
      <c r="AI80" s="65"/>
      <c r="AJ80" s="65"/>
    </row>
    <row r="81" spans="1:36" ht="14.25" customHeight="1" thickBot="1" x14ac:dyDescent="0.35">
      <c r="A81" s="62" t="s">
        <v>70</v>
      </c>
      <c r="B81" s="98">
        <v>58490</v>
      </c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94">
        <v>42174</v>
      </c>
      <c r="AA81" s="87">
        <f t="shared" si="5"/>
        <v>22929.151898734177</v>
      </c>
      <c r="AB81" s="87">
        <f t="shared" si="6"/>
        <v>525746006.79522508</v>
      </c>
      <c r="AC81" s="95">
        <f t="shared" si="7"/>
        <v>22929.151898734177</v>
      </c>
      <c r="AD81" s="64"/>
      <c r="AE81" s="64"/>
      <c r="AF81" s="65"/>
      <c r="AG81" s="65"/>
      <c r="AH81" s="65"/>
      <c r="AI81" s="65"/>
      <c r="AJ81" s="65"/>
    </row>
    <row r="82" spans="1:36" ht="14.25" customHeight="1" x14ac:dyDescent="0.3">
      <c r="A82" s="60"/>
      <c r="B82" s="60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94">
        <v>42337</v>
      </c>
      <c r="AA82" s="87">
        <f t="shared" si="5"/>
        <v>23092.151898734177</v>
      </c>
      <c r="AB82" s="87">
        <f t="shared" si="6"/>
        <v>533247479.31421244</v>
      </c>
      <c r="AC82" s="95">
        <f t="shared" si="7"/>
        <v>23092.151898734177</v>
      </c>
      <c r="AD82" s="64"/>
      <c r="AE82" s="64"/>
      <c r="AF82" s="65"/>
      <c r="AG82" s="65"/>
      <c r="AH82" s="65"/>
      <c r="AI82" s="65"/>
      <c r="AJ82" s="65"/>
    </row>
    <row r="83" spans="1:36" ht="14.25" customHeight="1" x14ac:dyDescent="0.3">
      <c r="A83" s="60"/>
      <c r="B83" s="60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94">
        <v>44332</v>
      </c>
      <c r="AA83" s="87">
        <f t="shared" si="5"/>
        <v>25087.151898734177</v>
      </c>
      <c r="AB83" s="87">
        <f t="shared" si="6"/>
        <v>629365190.39016187</v>
      </c>
      <c r="AC83" s="95">
        <f t="shared" si="7"/>
        <v>25087.151898734177</v>
      </c>
      <c r="AD83" s="64"/>
      <c r="AE83" s="64"/>
      <c r="AF83" s="65"/>
      <c r="AG83" s="65"/>
      <c r="AH83" s="65"/>
      <c r="AI83" s="65"/>
      <c r="AJ83" s="65"/>
    </row>
    <row r="84" spans="1:36" ht="14.25" customHeight="1" x14ac:dyDescent="0.3">
      <c r="A84" s="60"/>
      <c r="B84" s="60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94">
        <v>48152</v>
      </c>
      <c r="AA84" s="87">
        <f t="shared" si="5"/>
        <v>28907.151898734177</v>
      </c>
      <c r="AB84" s="87">
        <f t="shared" si="6"/>
        <v>835623430.89649093</v>
      </c>
      <c r="AC84" s="95">
        <f t="shared" si="7"/>
        <v>28907.151898734177</v>
      </c>
      <c r="AD84" s="64"/>
      <c r="AE84" s="64"/>
      <c r="AF84" s="65"/>
      <c r="AG84" s="65"/>
      <c r="AH84" s="65"/>
      <c r="AI84" s="65"/>
      <c r="AJ84" s="65"/>
    </row>
    <row r="85" spans="1:36" ht="14.25" customHeight="1" x14ac:dyDescent="0.3">
      <c r="A85" s="60"/>
      <c r="B85" s="60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94">
        <v>51730</v>
      </c>
      <c r="AA85" s="87">
        <f t="shared" si="5"/>
        <v>32485.151898734177</v>
      </c>
      <c r="AB85" s="87">
        <f t="shared" si="6"/>
        <v>1055285093.8838327</v>
      </c>
      <c r="AC85" s="95">
        <f t="shared" si="7"/>
        <v>32485.151898734177</v>
      </c>
      <c r="AD85" s="64"/>
      <c r="AE85" s="64"/>
      <c r="AF85" s="65"/>
      <c r="AG85" s="65"/>
      <c r="AH85" s="65"/>
      <c r="AI85" s="65"/>
      <c r="AJ85" s="65"/>
    </row>
    <row r="86" spans="1:36" ht="14.25" customHeight="1" x14ac:dyDescent="0.3">
      <c r="A86" s="99"/>
      <c r="B86" s="99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94">
        <v>53856</v>
      </c>
      <c r="AA86" s="87">
        <f t="shared" si="5"/>
        <v>34611.151898734177</v>
      </c>
      <c r="AB86" s="87">
        <f t="shared" si="6"/>
        <v>1197931835.7572503</v>
      </c>
      <c r="AC86" s="95">
        <f t="shared" si="7"/>
        <v>34611.151898734177</v>
      </c>
      <c r="AD86" s="64"/>
      <c r="AE86" s="64"/>
      <c r="AF86" s="65"/>
      <c r="AG86" s="65"/>
      <c r="AH86" s="65"/>
      <c r="AI86" s="65"/>
      <c r="AJ86" s="65"/>
    </row>
    <row r="87" spans="1:36" ht="14.25" customHeight="1" x14ac:dyDescent="0.3">
      <c r="A87" s="60"/>
      <c r="B87" s="60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94">
        <v>54013</v>
      </c>
      <c r="AA87" s="87">
        <f t="shared" si="5"/>
        <v>34768.151898734177</v>
      </c>
      <c r="AB87" s="87">
        <f t="shared" si="6"/>
        <v>1208824386.4534531</v>
      </c>
      <c r="AC87" s="95">
        <f t="shared" si="7"/>
        <v>34768.151898734177</v>
      </c>
      <c r="AD87" s="64"/>
      <c r="AE87" s="64"/>
      <c r="AF87" s="65"/>
      <c r="AG87" s="65"/>
      <c r="AH87" s="65"/>
      <c r="AI87" s="65"/>
      <c r="AJ87" s="65"/>
    </row>
    <row r="88" spans="1:36" ht="14.25" customHeight="1" x14ac:dyDescent="0.3">
      <c r="A88" s="100"/>
      <c r="B88" s="65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94">
        <v>55883</v>
      </c>
      <c r="AA88" s="87">
        <f t="shared" si="5"/>
        <v>36638.151898734177</v>
      </c>
      <c r="AB88" s="87">
        <f t="shared" si="6"/>
        <v>1342354174.5547187</v>
      </c>
      <c r="AC88" s="95">
        <f t="shared" si="7"/>
        <v>36638.151898734177</v>
      </c>
      <c r="AD88" s="64"/>
      <c r="AE88" s="64"/>
      <c r="AF88" s="65"/>
      <c r="AG88" s="65"/>
      <c r="AH88" s="65"/>
      <c r="AI88" s="65"/>
      <c r="AJ88" s="65"/>
    </row>
    <row r="89" spans="1:36" ht="14.25" customHeight="1" x14ac:dyDescent="0.3">
      <c r="A89" s="100"/>
      <c r="B89" s="65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94">
        <v>58490</v>
      </c>
      <c r="AA89" s="87">
        <f t="shared" si="5"/>
        <v>39245.151898734177</v>
      </c>
      <c r="AB89" s="87">
        <f t="shared" si="6"/>
        <v>1540181947.5547187</v>
      </c>
      <c r="AC89" s="95">
        <f t="shared" si="7"/>
        <v>39245.151898734177</v>
      </c>
      <c r="AD89" s="64"/>
      <c r="AE89" s="64"/>
      <c r="AF89" s="65"/>
      <c r="AG89" s="65"/>
      <c r="AH89" s="65"/>
      <c r="AI89" s="65"/>
      <c r="AJ89" s="65"/>
    </row>
    <row r="90" spans="1:36" ht="14.25" customHeight="1" x14ac:dyDescent="0.3">
      <c r="A90" s="64"/>
      <c r="B90" s="65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94">
        <v>61309</v>
      </c>
      <c r="AA90" s="87">
        <f t="shared" si="5"/>
        <v>42064.151898734177</v>
      </c>
      <c r="AB90" s="87">
        <f t="shared" si="6"/>
        <v>1769392874.9597821</v>
      </c>
      <c r="AC90" s="95">
        <f t="shared" si="7"/>
        <v>42064.151898734177</v>
      </c>
      <c r="AD90" s="64"/>
      <c r="AE90" s="64"/>
      <c r="AF90" s="65"/>
      <c r="AG90" s="65"/>
      <c r="AH90" s="65"/>
      <c r="AI90" s="65"/>
      <c r="AJ90" s="65"/>
    </row>
    <row r="91" spans="1:36" ht="14.25" customHeight="1" x14ac:dyDescent="0.3">
      <c r="A91" s="100"/>
      <c r="B91" s="65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94">
        <v>61753</v>
      </c>
      <c r="AA91" s="87">
        <f t="shared" si="5"/>
        <v>42508.151898734177</v>
      </c>
      <c r="AB91" s="87">
        <f t="shared" si="6"/>
        <v>1806942977.8458581</v>
      </c>
      <c r="AC91" s="95">
        <f t="shared" si="7"/>
        <v>42508.151898734177</v>
      </c>
      <c r="AD91" s="64"/>
      <c r="AE91" s="64"/>
      <c r="AF91" s="65"/>
      <c r="AG91" s="65"/>
      <c r="AH91" s="65"/>
      <c r="AI91" s="65"/>
      <c r="AJ91" s="65"/>
    </row>
    <row r="92" spans="1:36" ht="14.25" customHeight="1" thickBot="1" x14ac:dyDescent="0.35">
      <c r="A92" s="100"/>
      <c r="B92" s="65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94">
        <v>63366</v>
      </c>
      <c r="AA92" s="87">
        <f t="shared" si="5"/>
        <v>44121.151898734177</v>
      </c>
      <c r="AB92" s="101">
        <f t="shared" si="6"/>
        <v>1946676044.8711746</v>
      </c>
      <c r="AC92" s="102">
        <f t="shared" si="7"/>
        <v>44121.151898734177</v>
      </c>
      <c r="AD92" s="64"/>
      <c r="AE92" s="64"/>
      <c r="AF92" s="65"/>
      <c r="AG92" s="65"/>
      <c r="AH92" s="65"/>
      <c r="AI92" s="65"/>
      <c r="AJ92" s="65"/>
    </row>
    <row r="93" spans="1:36" ht="14.25" customHeight="1" thickBot="1" x14ac:dyDescent="0.35">
      <c r="A93" s="100"/>
      <c r="B93" s="65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95"/>
      <c r="AA93" s="103"/>
      <c r="AB93" s="104">
        <f>SUM(AB11:AB92)</f>
        <v>21600815347.854027</v>
      </c>
      <c r="AC93" s="80">
        <f>SUM(AC11:AC92)</f>
        <v>1006741.6582278481</v>
      </c>
      <c r="AD93" s="64"/>
      <c r="AE93" s="64"/>
      <c r="AF93" s="65"/>
      <c r="AG93" s="65"/>
      <c r="AH93" s="65"/>
      <c r="AI93" s="65"/>
      <c r="AJ93" s="65"/>
    </row>
    <row r="94" spans="1:36" ht="14.25" customHeight="1" x14ac:dyDescent="0.3">
      <c r="A94" s="100"/>
      <c r="B94" s="65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5"/>
      <c r="AH94" s="65"/>
      <c r="AI94" s="65"/>
      <c r="AJ94" s="65"/>
    </row>
    <row r="95" spans="1:36" ht="14.25" customHeight="1" x14ac:dyDescent="0.3">
      <c r="A95" s="100"/>
      <c r="B95" s="65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5"/>
      <c r="AH95" s="65"/>
      <c r="AI95" s="65"/>
      <c r="AJ95" s="65"/>
    </row>
    <row r="96" spans="1:36" ht="14.25" customHeight="1" x14ac:dyDescent="0.3">
      <c r="A96" s="100"/>
      <c r="B96" s="65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105" t="s">
        <v>159</v>
      </c>
      <c r="AA96" s="95">
        <f>AB93/AA6</f>
        <v>263424577.41285399</v>
      </c>
      <c r="AB96" s="64"/>
      <c r="AC96" s="64"/>
      <c r="AD96" s="64"/>
      <c r="AE96" s="64"/>
      <c r="AF96" s="65"/>
      <c r="AG96" s="65"/>
      <c r="AH96" s="65"/>
      <c r="AI96" s="65"/>
      <c r="AJ96" s="65"/>
    </row>
    <row r="97" spans="2:36" ht="14.25" customHeight="1" x14ac:dyDescent="0.3">
      <c r="B97" s="65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105" t="s">
        <v>160</v>
      </c>
      <c r="AA97" s="95">
        <f>SQRT(AA96)</f>
        <v>16230.359743790463</v>
      </c>
      <c r="AB97" s="64"/>
      <c r="AC97" s="64"/>
      <c r="AD97" s="64"/>
      <c r="AE97" s="64"/>
      <c r="AF97" s="65"/>
      <c r="AG97" s="65"/>
      <c r="AH97" s="65"/>
      <c r="AI97" s="65"/>
      <c r="AJ97" s="65"/>
    </row>
    <row r="98" spans="2:36" ht="14.25" customHeight="1" x14ac:dyDescent="0.3">
      <c r="B98" s="65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105" t="s">
        <v>161</v>
      </c>
      <c r="AA98" s="95">
        <f>AC93/AA6</f>
        <v>12277.337295461562</v>
      </c>
      <c r="AB98" s="64"/>
      <c r="AC98" s="64"/>
      <c r="AD98" s="64"/>
      <c r="AE98" s="64"/>
      <c r="AF98" s="65"/>
      <c r="AG98" s="65"/>
      <c r="AH98" s="65"/>
      <c r="AI98" s="65"/>
      <c r="AJ98" s="65"/>
    </row>
    <row r="99" spans="2:36" ht="14.25" customHeight="1" x14ac:dyDescent="0.3">
      <c r="B99" s="65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105" t="s">
        <v>162</v>
      </c>
      <c r="AA99" s="95">
        <v>62634</v>
      </c>
      <c r="AB99" s="64"/>
      <c r="AC99" s="64"/>
      <c r="AD99" s="64"/>
      <c r="AE99" s="64"/>
      <c r="AF99" s="65"/>
      <c r="AG99" s="65"/>
      <c r="AH99" s="65"/>
      <c r="AI99" s="65"/>
      <c r="AJ99" s="65"/>
    </row>
    <row r="100" spans="2:36" ht="14.25" customHeight="1" x14ac:dyDescent="0.3">
      <c r="B100" s="65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105" t="s">
        <v>163</v>
      </c>
      <c r="AA100" s="106">
        <f>AA99/AA7</f>
        <v>3.254585313971913</v>
      </c>
      <c r="AB100" s="64"/>
      <c r="AC100" s="64"/>
      <c r="AD100" s="64"/>
      <c r="AE100" s="64"/>
      <c r="AF100" s="65"/>
      <c r="AG100" s="65"/>
      <c r="AH100" s="65"/>
      <c r="AI100" s="65"/>
      <c r="AJ100" s="65"/>
    </row>
    <row r="101" spans="2:36" ht="14.25" customHeight="1" x14ac:dyDescent="0.3">
      <c r="B101" s="65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105" t="s">
        <v>164</v>
      </c>
      <c r="AA101" s="106">
        <f>(AA97/AA7)</f>
        <v>0.8433612808158728</v>
      </c>
      <c r="AB101" s="64"/>
      <c r="AC101" s="64"/>
      <c r="AD101" s="64"/>
      <c r="AE101" s="64"/>
      <c r="AF101" s="65"/>
      <c r="AG101" s="65"/>
      <c r="AH101" s="65"/>
      <c r="AI101" s="65"/>
      <c r="AJ101" s="65"/>
    </row>
    <row r="102" spans="2:36" ht="14.25" customHeight="1" x14ac:dyDescent="0.3">
      <c r="B102" s="65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105" t="s">
        <v>165</v>
      </c>
      <c r="AA102" s="106">
        <f>AA98/AA7</f>
        <v>0.6379544920728174</v>
      </c>
      <c r="AB102" s="64"/>
      <c r="AC102" s="64"/>
      <c r="AD102" s="64"/>
      <c r="AE102" s="64"/>
      <c r="AF102" s="65"/>
      <c r="AG102" s="65"/>
      <c r="AH102" s="65"/>
      <c r="AI102" s="65"/>
      <c r="AJ102" s="65"/>
    </row>
    <row r="103" spans="2:36" ht="14.25" customHeight="1" x14ac:dyDescent="0.3">
      <c r="B103" s="65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5"/>
      <c r="AH103" s="65"/>
      <c r="AI103" s="65"/>
      <c r="AJ103" s="65"/>
    </row>
    <row r="104" spans="2:36" ht="14.25" customHeight="1" thickBot="1" x14ac:dyDescent="0.35">
      <c r="B104" s="65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107"/>
      <c r="AA104" s="107"/>
      <c r="AB104" s="107"/>
      <c r="AC104" s="107"/>
      <c r="AD104" s="107"/>
      <c r="AE104" s="107"/>
      <c r="AF104" s="65"/>
      <c r="AG104" s="65"/>
      <c r="AH104" s="65"/>
      <c r="AI104" s="65"/>
      <c r="AJ104" s="65"/>
    </row>
    <row r="105" spans="2:36" ht="48" customHeight="1" thickBot="1" x14ac:dyDescent="0.45">
      <c r="B105" s="65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8" t="s">
        <v>152</v>
      </c>
      <c r="AA105" s="69">
        <v>82</v>
      </c>
      <c r="AB105" s="64"/>
      <c r="AC105" s="64"/>
      <c r="AD105" s="64"/>
      <c r="AE105" s="108" t="s">
        <v>166</v>
      </c>
      <c r="AF105" s="65"/>
      <c r="AG105" s="65"/>
      <c r="AH105" s="65"/>
      <c r="AI105" s="65"/>
      <c r="AJ105" s="65"/>
    </row>
    <row r="106" spans="2:36" ht="14.25" customHeight="1" thickBot="1" x14ac:dyDescent="0.35">
      <c r="B106" s="65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72" t="s">
        <v>154</v>
      </c>
      <c r="AA106" s="109">
        <f>SUM(J9:J15)/7</f>
        <v>29611</v>
      </c>
      <c r="AB106" s="110"/>
      <c r="AC106" s="64"/>
      <c r="AD106" s="64"/>
      <c r="AE106" s="64"/>
      <c r="AF106" s="65"/>
      <c r="AG106" s="65"/>
      <c r="AH106" s="65"/>
      <c r="AI106" s="65"/>
      <c r="AJ106" s="65"/>
    </row>
    <row r="107" spans="2:36" ht="14.25" customHeight="1" x14ac:dyDescent="0.3">
      <c r="B107" s="65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5"/>
      <c r="AH107" s="65"/>
      <c r="AI107" s="65"/>
      <c r="AJ107" s="65"/>
    </row>
    <row r="108" spans="2:36" ht="14.25" customHeight="1" x14ac:dyDescent="0.3">
      <c r="B108" s="65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95" t="s">
        <v>92</v>
      </c>
      <c r="AA108" s="95" t="s">
        <v>93</v>
      </c>
      <c r="AB108" s="95" t="s">
        <v>94</v>
      </c>
      <c r="AC108" s="95" t="s">
        <v>95</v>
      </c>
      <c r="AD108" s="95" t="s">
        <v>111</v>
      </c>
      <c r="AE108" s="95" t="s">
        <v>110</v>
      </c>
      <c r="AF108" s="94" t="s">
        <v>156</v>
      </c>
      <c r="AG108" s="94" t="s">
        <v>167</v>
      </c>
      <c r="AH108" s="94" t="s">
        <v>168</v>
      </c>
      <c r="AI108" s="94" t="s">
        <v>158</v>
      </c>
      <c r="AJ108" s="94" t="s">
        <v>169</v>
      </c>
    </row>
    <row r="109" spans="2:36" ht="14.25" customHeight="1" x14ac:dyDescent="0.3">
      <c r="B109" s="65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87">
        <v>732</v>
      </c>
      <c r="AA109" s="87">
        <v>9679.7142857142862</v>
      </c>
      <c r="AB109" s="87">
        <v>5205.8571428571431</v>
      </c>
      <c r="AC109" s="87">
        <v>22</v>
      </c>
      <c r="AD109" s="87">
        <v>22</v>
      </c>
      <c r="AE109" s="87">
        <v>114528.85714285714</v>
      </c>
      <c r="AF109" s="111">
        <f t="shared" ref="AF109:AF115" si="8">AB109-$AA$106</f>
        <v>-24405.142857142855</v>
      </c>
      <c r="AG109" s="111">
        <f t="shared" ref="AG109:AG115" si="9">AF109^2</f>
        <v>595610997.87755096</v>
      </c>
      <c r="AH109" s="94">
        <f t="shared" ref="AH109:AH115" si="10">AG109*AC109</f>
        <v>13103441953.306122</v>
      </c>
      <c r="AI109" s="94">
        <f t="shared" ref="AI109:AI115" si="11">ABS(AF109)</f>
        <v>24405.142857142855</v>
      </c>
      <c r="AJ109" s="94">
        <f t="shared" ref="AJ109:AJ115" si="12">AI109*AC109</f>
        <v>536913.14285714284</v>
      </c>
    </row>
    <row r="110" spans="2:36" ht="14.25" customHeight="1" x14ac:dyDescent="0.3">
      <c r="B110" s="65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87">
        <v>9679.7142857142862</v>
      </c>
      <c r="AA110" s="87">
        <v>18627.428571428572</v>
      </c>
      <c r="AB110" s="87">
        <v>14153.571428571429</v>
      </c>
      <c r="AC110" s="87">
        <v>28</v>
      </c>
      <c r="AD110" s="87">
        <v>50</v>
      </c>
      <c r="AE110" s="87">
        <v>396300</v>
      </c>
      <c r="AF110" s="111">
        <f t="shared" si="8"/>
        <v>-15457.428571428571</v>
      </c>
      <c r="AG110" s="111">
        <f t="shared" si="9"/>
        <v>238932098.04081631</v>
      </c>
      <c r="AH110" s="94">
        <f t="shared" si="10"/>
        <v>6690098745.1428566</v>
      </c>
      <c r="AI110" s="94">
        <f t="shared" si="11"/>
        <v>15457.428571428571</v>
      </c>
      <c r="AJ110" s="94">
        <f t="shared" si="12"/>
        <v>432808</v>
      </c>
    </row>
    <row r="111" spans="2:36" ht="14.25" customHeight="1" x14ac:dyDescent="0.3">
      <c r="B111" s="65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87">
        <v>18627.428571428572</v>
      </c>
      <c r="AA111" s="87">
        <v>27575.142857142859</v>
      </c>
      <c r="AB111" s="87">
        <v>23101.285714285717</v>
      </c>
      <c r="AC111" s="87">
        <v>12</v>
      </c>
      <c r="AD111" s="87">
        <v>62</v>
      </c>
      <c r="AE111" s="87">
        <v>277215.42857142864</v>
      </c>
      <c r="AF111" s="111">
        <f t="shared" si="8"/>
        <v>-6509.7142857142826</v>
      </c>
      <c r="AG111" s="111">
        <f t="shared" si="9"/>
        <v>42376380.081632614</v>
      </c>
      <c r="AH111" s="94">
        <f t="shared" si="10"/>
        <v>508516560.97959137</v>
      </c>
      <c r="AI111" s="94">
        <f t="shared" si="11"/>
        <v>6509.7142857142826</v>
      </c>
      <c r="AJ111" s="94">
        <f t="shared" si="12"/>
        <v>78116.571428571391</v>
      </c>
    </row>
    <row r="112" spans="2:36" ht="14.25" customHeight="1" x14ac:dyDescent="0.3">
      <c r="B112" s="65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87">
        <v>27575.142857142859</v>
      </c>
      <c r="AA112" s="87">
        <v>36522.857142857145</v>
      </c>
      <c r="AB112" s="87">
        <v>32049</v>
      </c>
      <c r="AC112" s="87">
        <v>5</v>
      </c>
      <c r="AD112" s="87">
        <v>67</v>
      </c>
      <c r="AE112" s="87">
        <v>160245</v>
      </c>
      <c r="AF112" s="111">
        <f t="shared" si="8"/>
        <v>2438</v>
      </c>
      <c r="AG112" s="111">
        <f t="shared" si="9"/>
        <v>5943844</v>
      </c>
      <c r="AH112" s="94">
        <f t="shared" si="10"/>
        <v>29719220</v>
      </c>
      <c r="AI112" s="94">
        <f t="shared" si="11"/>
        <v>2438</v>
      </c>
      <c r="AJ112" s="94">
        <f t="shared" si="12"/>
        <v>12190</v>
      </c>
    </row>
    <row r="113" spans="2:36" ht="14.25" customHeight="1" x14ac:dyDescent="0.3">
      <c r="B113" s="65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87">
        <v>36522.857142857145</v>
      </c>
      <c r="AA113" s="87">
        <v>45470.571428571435</v>
      </c>
      <c r="AB113" s="87">
        <v>40996.71428571429</v>
      </c>
      <c r="AC113" s="87">
        <v>6</v>
      </c>
      <c r="AD113" s="87">
        <v>73</v>
      </c>
      <c r="AE113" s="87">
        <v>245980.28571428574</v>
      </c>
      <c r="AF113" s="111">
        <f t="shared" si="8"/>
        <v>11385.71428571429</v>
      </c>
      <c r="AG113" s="111">
        <f t="shared" si="9"/>
        <v>129634489.79591846</v>
      </c>
      <c r="AH113" s="94">
        <f t="shared" si="10"/>
        <v>777806938.77551079</v>
      </c>
      <c r="AI113" s="94">
        <f t="shared" si="11"/>
        <v>11385.71428571429</v>
      </c>
      <c r="AJ113" s="94">
        <f t="shared" si="12"/>
        <v>68314.285714285739</v>
      </c>
    </row>
    <row r="114" spans="2:36" ht="14.25" customHeight="1" x14ac:dyDescent="0.3">
      <c r="B114" s="65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87">
        <v>45470.571428571435</v>
      </c>
      <c r="AA114" s="87">
        <v>54418.285714285725</v>
      </c>
      <c r="AB114" s="87">
        <v>49944.42857142858</v>
      </c>
      <c r="AC114" s="87">
        <v>4</v>
      </c>
      <c r="AD114" s="87">
        <v>77</v>
      </c>
      <c r="AE114" s="87">
        <v>199777.71428571432</v>
      </c>
      <c r="AF114" s="111">
        <f t="shared" si="8"/>
        <v>20333.42857142858</v>
      </c>
      <c r="AG114" s="111">
        <f t="shared" si="9"/>
        <v>413448317.46938807</v>
      </c>
      <c r="AH114" s="94">
        <f t="shared" si="10"/>
        <v>1653793269.8775523</v>
      </c>
      <c r="AI114" s="94">
        <f t="shared" si="11"/>
        <v>20333.42857142858</v>
      </c>
      <c r="AJ114" s="94">
        <f t="shared" si="12"/>
        <v>81333.714285714319</v>
      </c>
    </row>
    <row r="115" spans="2:36" ht="14.25" customHeight="1" x14ac:dyDescent="0.3">
      <c r="B115" s="65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87">
        <v>54418.285714285725</v>
      </c>
      <c r="AA115" s="87">
        <v>63366.000000000015</v>
      </c>
      <c r="AB115" s="87">
        <v>58892.14285714287</v>
      </c>
      <c r="AC115" s="87">
        <v>5</v>
      </c>
      <c r="AD115" s="87">
        <v>82</v>
      </c>
      <c r="AE115" s="87">
        <v>294460.71428571432</v>
      </c>
      <c r="AF115" s="111">
        <f t="shared" si="8"/>
        <v>29281.14285714287</v>
      </c>
      <c r="AG115" s="111">
        <f t="shared" si="9"/>
        <v>857385327.02040887</v>
      </c>
      <c r="AH115" s="94">
        <f t="shared" si="10"/>
        <v>4286926635.1020441</v>
      </c>
      <c r="AI115" s="94">
        <f t="shared" si="11"/>
        <v>29281.14285714287</v>
      </c>
      <c r="AJ115" s="94">
        <f t="shared" si="12"/>
        <v>146405.71428571435</v>
      </c>
    </row>
    <row r="116" spans="2:36" ht="14.25" customHeight="1" x14ac:dyDescent="0.3">
      <c r="B116" s="65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5"/>
      <c r="AH116" s="94">
        <f>SUM(AH109:AH115)</f>
        <v>27050303323.183674</v>
      </c>
      <c r="AI116" s="65"/>
      <c r="AJ116" s="94">
        <f>SUM(AJ109:AJ115)</f>
        <v>1356081.4285714284</v>
      </c>
    </row>
    <row r="117" spans="2:36" ht="14.25" customHeight="1" x14ac:dyDescent="0.3">
      <c r="B117" s="65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5"/>
      <c r="AH117" s="65"/>
      <c r="AI117" s="65"/>
      <c r="AJ117" s="65"/>
    </row>
    <row r="118" spans="2:36" ht="14.25" customHeight="1" x14ac:dyDescent="0.3">
      <c r="B118" s="65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105" t="s">
        <v>159</v>
      </c>
      <c r="AA118" s="95">
        <f>AH116/AA105</f>
        <v>329881747.84370333</v>
      </c>
      <c r="AB118" s="64"/>
      <c r="AC118" s="64"/>
      <c r="AD118" s="64"/>
      <c r="AE118" s="64"/>
      <c r="AF118" s="65"/>
      <c r="AG118" s="65"/>
      <c r="AH118" s="65"/>
      <c r="AI118" s="65"/>
      <c r="AJ118" s="65"/>
    </row>
    <row r="119" spans="2:36" ht="14.25" customHeight="1" x14ac:dyDescent="0.3">
      <c r="B119" s="65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105" t="s">
        <v>160</v>
      </c>
      <c r="AA119" s="95">
        <f>SQRT(AA118)</f>
        <v>18162.64704947226</v>
      </c>
      <c r="AB119" s="64"/>
      <c r="AC119" s="64"/>
      <c r="AD119" s="64"/>
      <c r="AE119" s="64"/>
      <c r="AF119" s="65"/>
      <c r="AG119" s="65"/>
      <c r="AH119" s="65"/>
      <c r="AI119" s="65"/>
      <c r="AJ119" s="65"/>
    </row>
    <row r="120" spans="2:36" ht="14.25" customHeight="1" x14ac:dyDescent="0.3">
      <c r="B120" s="65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105" t="s">
        <v>161</v>
      </c>
      <c r="AA120" s="95">
        <f>AJ116/AD115</f>
        <v>16537.578397212543</v>
      </c>
      <c r="AB120" s="64"/>
      <c r="AC120" s="64"/>
      <c r="AD120" s="64"/>
      <c r="AE120" s="64"/>
      <c r="AF120" s="65"/>
      <c r="AG120" s="65"/>
      <c r="AH120" s="65"/>
      <c r="AI120" s="65"/>
      <c r="AJ120" s="65"/>
    </row>
    <row r="121" spans="2:36" ht="14.25" customHeight="1" x14ac:dyDescent="0.3">
      <c r="B121" s="65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105" t="s">
        <v>162</v>
      </c>
      <c r="AA121" s="95">
        <v>62634</v>
      </c>
      <c r="AB121" s="64"/>
      <c r="AC121" s="64"/>
      <c r="AD121" s="64"/>
      <c r="AE121" s="64"/>
      <c r="AF121" s="65"/>
      <c r="AG121" s="65"/>
      <c r="AH121" s="65"/>
      <c r="AI121" s="65"/>
      <c r="AJ121" s="65"/>
    </row>
    <row r="122" spans="2:36" ht="14.25" customHeight="1" x14ac:dyDescent="0.3">
      <c r="B122" s="65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105" t="s">
        <v>163</v>
      </c>
      <c r="AA122" s="106">
        <f>AA121/AA106</f>
        <v>2.1152274492587213</v>
      </c>
      <c r="AB122" s="64"/>
      <c r="AC122" s="64"/>
      <c r="AD122" s="64"/>
      <c r="AE122" s="64"/>
      <c r="AF122" s="65"/>
      <c r="AG122" s="65"/>
      <c r="AH122" s="65"/>
      <c r="AI122" s="65"/>
      <c r="AJ122" s="65"/>
    </row>
    <row r="123" spans="2:36" ht="14.25" customHeight="1" x14ac:dyDescent="0.3">
      <c r="B123" s="65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105" t="s">
        <v>164</v>
      </c>
      <c r="AA123" s="106">
        <f>(AA119/AA106)</f>
        <v>0.61337499744933499</v>
      </c>
      <c r="AB123" s="64"/>
      <c r="AC123" s="64"/>
      <c r="AD123" s="64"/>
      <c r="AE123" s="64"/>
      <c r="AF123" s="65"/>
      <c r="AG123" s="65"/>
      <c r="AH123" s="65"/>
      <c r="AI123" s="65"/>
      <c r="AJ123" s="65"/>
    </row>
    <row r="124" spans="2:36" ht="14.25" customHeight="1" x14ac:dyDescent="0.3">
      <c r="B124" s="65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105" t="s">
        <v>165</v>
      </c>
      <c r="AA124" s="106">
        <f>AA120/AA106</f>
        <v>0.55849442427518636</v>
      </c>
      <c r="AB124" s="64"/>
      <c r="AC124" s="64"/>
      <c r="AD124" s="64"/>
      <c r="AE124" s="64"/>
      <c r="AF124" s="65"/>
      <c r="AG124" s="65"/>
      <c r="AH124" s="65"/>
      <c r="AI124" s="65"/>
      <c r="AJ124" s="65"/>
    </row>
    <row r="125" spans="2:36" ht="14.25" customHeight="1" x14ac:dyDescent="0.3">
      <c r="B125" s="65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5"/>
      <c r="AH125" s="65"/>
      <c r="AI125" s="65"/>
      <c r="AJ125" s="65"/>
    </row>
    <row r="126" spans="2:36" ht="14.25" customHeight="1" x14ac:dyDescent="0.3">
      <c r="B126" s="65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107"/>
      <c r="AA126" s="107"/>
      <c r="AB126" s="107"/>
      <c r="AC126" s="107"/>
      <c r="AD126" s="107"/>
      <c r="AE126" s="107"/>
      <c r="AF126" s="65"/>
      <c r="AG126" s="65"/>
      <c r="AH126" s="65"/>
      <c r="AI126" s="65"/>
      <c r="AJ126" s="65"/>
    </row>
    <row r="127" spans="2:36" ht="14.25" customHeight="1" x14ac:dyDescent="0.4">
      <c r="B127" s="65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108" t="s">
        <v>170</v>
      </c>
      <c r="AF127" s="65"/>
      <c r="AG127" s="65"/>
      <c r="AH127" s="65"/>
      <c r="AI127" s="65"/>
      <c r="AJ127" s="65"/>
    </row>
    <row r="128" spans="2:36" ht="14.25" customHeight="1" x14ac:dyDescent="0.3">
      <c r="B128" s="65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 t="s">
        <v>171</v>
      </c>
      <c r="AA128" s="64"/>
      <c r="AB128" s="112" t="s">
        <v>172</v>
      </c>
      <c r="AC128" s="113">
        <f>AA97</f>
        <v>16230.359743790463</v>
      </c>
      <c r="AD128" s="64"/>
      <c r="AE128" s="64"/>
      <c r="AF128" s="65"/>
      <c r="AG128" s="65"/>
      <c r="AH128" s="65"/>
      <c r="AI128" s="65"/>
      <c r="AJ128" s="65"/>
    </row>
    <row r="129" spans="2:36" ht="14.25" customHeight="1" x14ac:dyDescent="0.3">
      <c r="B129" s="65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114" t="s">
        <v>173</v>
      </c>
      <c r="AC129" s="113">
        <f>AA99/6</f>
        <v>10439</v>
      </c>
      <c r="AD129" s="64"/>
      <c r="AE129" s="64"/>
      <c r="AF129" s="65"/>
      <c r="AG129" s="65"/>
      <c r="AH129" s="65"/>
      <c r="AI129" s="65"/>
      <c r="AJ129" s="65"/>
    </row>
    <row r="130" spans="2:36" ht="14.25" customHeight="1" x14ac:dyDescent="0.3">
      <c r="B130" s="65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113"/>
      <c r="AD130" s="64"/>
      <c r="AE130" s="64"/>
      <c r="AF130" s="65"/>
      <c r="AG130" s="65"/>
      <c r="AH130" s="65"/>
      <c r="AI130" s="65"/>
      <c r="AJ130" s="65"/>
    </row>
    <row r="131" spans="2:36" ht="14.25" customHeight="1" x14ac:dyDescent="0.3">
      <c r="B131" s="65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 t="s">
        <v>174</v>
      </c>
      <c r="AB131" s="64"/>
      <c r="AC131" s="113"/>
      <c r="AD131" s="64"/>
      <c r="AE131" s="64"/>
      <c r="AF131" s="65"/>
      <c r="AG131" s="65"/>
      <c r="AH131" s="65"/>
      <c r="AI131" s="65"/>
      <c r="AJ131" s="65"/>
    </row>
    <row r="132" spans="2:36" ht="14.25" customHeight="1" x14ac:dyDescent="0.3">
      <c r="B132" s="65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113"/>
      <c r="AD132" s="64"/>
      <c r="AE132" s="64"/>
      <c r="AF132" s="65"/>
      <c r="AG132" s="65"/>
      <c r="AH132" s="65"/>
      <c r="AI132" s="65"/>
      <c r="AJ132" s="65"/>
    </row>
    <row r="133" spans="2:36" ht="14.25" customHeight="1" x14ac:dyDescent="0.3">
      <c r="B133" s="65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107"/>
      <c r="AA133" s="107"/>
      <c r="AB133" s="64"/>
      <c r="AC133" s="113"/>
      <c r="AD133" s="64"/>
      <c r="AE133" s="64"/>
      <c r="AF133" s="65"/>
      <c r="AG133" s="65"/>
      <c r="AH133" s="65"/>
      <c r="AI133" s="65"/>
      <c r="AJ133" s="65"/>
    </row>
    <row r="134" spans="2:36" ht="14.25" customHeight="1" x14ac:dyDescent="0.3">
      <c r="B134" s="65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 t="s">
        <v>175</v>
      </c>
      <c r="AA134" s="64"/>
      <c r="AB134" s="112" t="s">
        <v>172</v>
      </c>
      <c r="AC134" s="113">
        <f>AA97</f>
        <v>16230.359743790463</v>
      </c>
      <c r="AD134" s="64"/>
      <c r="AE134" s="64"/>
      <c r="AF134" s="65"/>
      <c r="AG134" s="65"/>
      <c r="AH134" s="65"/>
      <c r="AI134" s="65"/>
      <c r="AJ134" s="65"/>
    </row>
    <row r="135" spans="2:36" ht="14.25" customHeight="1" x14ac:dyDescent="0.3">
      <c r="B135" s="65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112" t="s">
        <v>176</v>
      </c>
      <c r="AC135" s="113">
        <f>1.25*AA98</f>
        <v>15346.671619326953</v>
      </c>
      <c r="AD135" s="64"/>
      <c r="AE135" s="64"/>
      <c r="AF135" s="65"/>
      <c r="AG135" s="65"/>
      <c r="AH135" s="65"/>
      <c r="AI135" s="65"/>
      <c r="AJ135" s="65"/>
    </row>
    <row r="136" spans="2:36" ht="14.25" customHeight="1" x14ac:dyDescent="0.3">
      <c r="B136" s="65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113"/>
      <c r="AD136" s="64"/>
      <c r="AE136" s="64"/>
      <c r="AF136" s="65"/>
      <c r="AG136" s="65"/>
      <c r="AH136" s="65"/>
      <c r="AI136" s="65"/>
      <c r="AJ136" s="65"/>
    </row>
    <row r="137" spans="2:36" ht="14.25" customHeight="1" x14ac:dyDescent="0.3">
      <c r="B137" s="65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 t="s">
        <v>177</v>
      </c>
      <c r="AB137" s="64"/>
      <c r="AC137" s="113"/>
      <c r="AD137" s="64"/>
      <c r="AE137" s="64"/>
      <c r="AF137" s="65"/>
      <c r="AG137" s="65"/>
      <c r="AH137" s="65"/>
      <c r="AI137" s="65"/>
      <c r="AJ137" s="65"/>
    </row>
    <row r="138" spans="2:36" ht="14.25" customHeight="1" x14ac:dyDescent="0.3">
      <c r="B138" s="65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113"/>
      <c r="AD138" s="64"/>
      <c r="AE138" s="64"/>
      <c r="AF138" s="65"/>
      <c r="AG138" s="65"/>
      <c r="AH138" s="65"/>
      <c r="AI138" s="65"/>
      <c r="AJ138" s="65"/>
    </row>
    <row r="139" spans="2:36" ht="14.25" customHeight="1" x14ac:dyDescent="0.3">
      <c r="B139" s="65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107"/>
      <c r="AA139" s="107"/>
      <c r="AB139" s="64"/>
      <c r="AC139" s="113"/>
      <c r="AD139" s="64"/>
      <c r="AE139" s="64"/>
      <c r="AF139" s="65"/>
      <c r="AG139" s="65"/>
      <c r="AH139" s="65"/>
      <c r="AI139" s="65"/>
      <c r="AJ139" s="65"/>
    </row>
    <row r="140" spans="2:36" ht="14.25" customHeight="1" x14ac:dyDescent="0.3">
      <c r="B140" s="65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113"/>
      <c r="AD140" s="64"/>
      <c r="AE140" s="64"/>
      <c r="AF140" s="65"/>
      <c r="AG140" s="65"/>
      <c r="AH140" s="65"/>
      <c r="AI140" s="65"/>
      <c r="AJ140" s="65"/>
    </row>
    <row r="141" spans="2:36" ht="14.25" customHeight="1" x14ac:dyDescent="0.3">
      <c r="B141" s="65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115" t="s">
        <v>178</v>
      </c>
      <c r="AA141" s="115"/>
      <c r="AB141" s="116" t="s">
        <v>179</v>
      </c>
      <c r="AC141" s="117">
        <f>AC134*3</f>
        <v>48691.07923137139</v>
      </c>
      <c r="AD141" s="64"/>
      <c r="AE141" s="64"/>
      <c r="AF141" s="65"/>
      <c r="AG141" s="65"/>
      <c r="AH141" s="65"/>
      <c r="AI141" s="65"/>
      <c r="AJ141" s="65"/>
    </row>
    <row r="142" spans="2:36" ht="14.25" customHeight="1" x14ac:dyDescent="0.3">
      <c r="B142" s="65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115"/>
      <c r="AA142" s="115"/>
      <c r="AB142" s="118" t="s">
        <v>180</v>
      </c>
      <c r="AC142" s="117">
        <f>AC134*(-3)</f>
        <v>-48691.07923137139</v>
      </c>
      <c r="AD142" s="64"/>
      <c r="AE142" s="64"/>
      <c r="AF142" s="65"/>
      <c r="AG142" s="65"/>
      <c r="AH142" s="65"/>
      <c r="AI142" s="65"/>
      <c r="AJ142" s="65"/>
    </row>
    <row r="143" spans="2:36" ht="14.25" customHeight="1" x14ac:dyDescent="0.3">
      <c r="B143" s="65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115"/>
      <c r="AA143" s="115"/>
      <c r="AB143" s="118" t="s">
        <v>154</v>
      </c>
      <c r="AC143" s="119">
        <f>AA106</f>
        <v>29611</v>
      </c>
      <c r="AD143" s="64"/>
      <c r="AE143" s="64"/>
      <c r="AF143" s="65"/>
      <c r="AG143" s="65"/>
      <c r="AH143" s="65"/>
      <c r="AI143" s="65"/>
      <c r="AJ143" s="65"/>
    </row>
    <row r="144" spans="2:36" ht="14.25" customHeight="1" x14ac:dyDescent="0.3">
      <c r="B144" s="65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115"/>
      <c r="AA144" s="115"/>
      <c r="AB144" s="115"/>
      <c r="AC144" s="110"/>
      <c r="AD144" s="64"/>
      <c r="AE144" s="64"/>
      <c r="AF144" s="65"/>
      <c r="AG144" s="65"/>
      <c r="AH144" s="65"/>
      <c r="AI144" s="65"/>
      <c r="AJ144" s="65"/>
    </row>
    <row r="145" spans="2:36" ht="14.25" customHeight="1" x14ac:dyDescent="0.3">
      <c r="B145" s="65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115"/>
      <c r="AA145" s="115" t="s">
        <v>177</v>
      </c>
      <c r="AB145" s="115"/>
      <c r="AC145" s="115"/>
      <c r="AD145" s="64"/>
      <c r="AE145" s="64"/>
      <c r="AF145" s="65"/>
      <c r="AG145" s="65"/>
      <c r="AH145" s="65"/>
      <c r="AI145" s="65"/>
      <c r="AJ145" s="65"/>
    </row>
    <row r="146" spans="2:36" ht="14.25" customHeight="1" x14ac:dyDescent="0.3">
      <c r="B146" s="65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5"/>
      <c r="AH146" s="65"/>
      <c r="AI146" s="65"/>
      <c r="AJ146" s="65"/>
    </row>
    <row r="147" spans="2:36" ht="14.25" customHeight="1" x14ac:dyDescent="0.3">
      <c r="B147" s="65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107"/>
      <c r="AA147" s="107"/>
      <c r="AB147" s="107"/>
      <c r="AC147" s="107"/>
      <c r="AD147" s="107"/>
      <c r="AE147" s="107"/>
      <c r="AF147" s="65"/>
      <c r="AG147" s="65"/>
      <c r="AH147" s="65"/>
      <c r="AI147" s="65"/>
      <c r="AJ147" s="65"/>
    </row>
    <row r="148" spans="2:36" ht="14.25" customHeight="1" x14ac:dyDescent="0.3">
      <c r="B148" s="65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5"/>
      <c r="AH148" s="65"/>
      <c r="AI148" s="65"/>
      <c r="AJ148" s="65"/>
    </row>
    <row r="149" spans="2:36" ht="39" customHeight="1" x14ac:dyDescent="0.4">
      <c r="B149" s="65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120" t="s">
        <v>181</v>
      </c>
      <c r="AA149" s="121" t="s">
        <v>182</v>
      </c>
      <c r="AB149" s="122" t="s">
        <v>106</v>
      </c>
      <c r="AC149" s="123" t="s">
        <v>183</v>
      </c>
      <c r="AD149" s="64"/>
      <c r="AE149" s="124" t="s">
        <v>184</v>
      </c>
      <c r="AF149" s="65"/>
      <c r="AG149" s="65"/>
      <c r="AH149" s="65"/>
      <c r="AI149" s="65"/>
      <c r="AJ149" s="65"/>
    </row>
    <row r="150" spans="2:36" ht="14.25" customHeight="1" x14ac:dyDescent="0.3">
      <c r="B150" s="65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125" t="s">
        <v>185</v>
      </c>
      <c r="AA150" s="126">
        <f>AA7</f>
        <v>19244.848101265823</v>
      </c>
      <c r="AB150" s="127">
        <f>AA106</f>
        <v>29611</v>
      </c>
      <c r="AC150" s="128" t="s">
        <v>186</v>
      </c>
      <c r="AD150" s="64"/>
      <c r="AE150" s="64"/>
      <c r="AF150" s="65"/>
      <c r="AG150" s="65"/>
      <c r="AH150" s="65"/>
      <c r="AI150" s="65"/>
      <c r="AJ150" s="65"/>
    </row>
    <row r="151" spans="2:36" ht="14.25" customHeight="1" x14ac:dyDescent="0.3">
      <c r="B151" s="65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129" t="s">
        <v>187</v>
      </c>
      <c r="AA151" s="130">
        <f t="shared" ref="AA151:AA155" si="13">AA96</f>
        <v>263424577.41285399</v>
      </c>
      <c r="AB151" s="127">
        <f t="shared" ref="AB151:AB155" si="14">AA118</f>
        <v>329881747.84370333</v>
      </c>
      <c r="AC151" s="131" t="s">
        <v>188</v>
      </c>
      <c r="AD151" s="64"/>
      <c r="AE151" s="64"/>
      <c r="AF151" s="65"/>
      <c r="AG151" s="65"/>
      <c r="AH151" s="65"/>
      <c r="AI151" s="65"/>
      <c r="AJ151" s="65"/>
    </row>
    <row r="152" spans="2:36" ht="14.25" customHeight="1" x14ac:dyDescent="0.3">
      <c r="B152" s="65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129" t="s">
        <v>189</v>
      </c>
      <c r="AA152" s="132">
        <f t="shared" si="13"/>
        <v>16230.359743790463</v>
      </c>
      <c r="AB152" s="133">
        <f t="shared" si="14"/>
        <v>18162.64704947226</v>
      </c>
      <c r="AC152" s="131" t="s">
        <v>190</v>
      </c>
      <c r="AD152" s="64"/>
      <c r="AE152" s="64"/>
      <c r="AF152" s="65"/>
      <c r="AG152" s="65"/>
      <c r="AH152" s="65"/>
      <c r="AI152" s="65"/>
      <c r="AJ152" s="65"/>
    </row>
    <row r="153" spans="2:36" ht="14.25" customHeight="1" x14ac:dyDescent="0.3">
      <c r="B153" s="65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129" t="s">
        <v>191</v>
      </c>
      <c r="AA153" s="134">
        <f t="shared" si="13"/>
        <v>12277.337295461562</v>
      </c>
      <c r="AB153" s="133">
        <f t="shared" si="14"/>
        <v>16537.578397212543</v>
      </c>
      <c r="AC153" s="131"/>
      <c r="AD153" s="64"/>
      <c r="AE153" s="64"/>
      <c r="AF153" s="65"/>
      <c r="AG153" s="65"/>
      <c r="AH153" s="65"/>
      <c r="AI153" s="65"/>
      <c r="AJ153" s="65"/>
    </row>
    <row r="154" spans="2:36" ht="14.25" customHeight="1" x14ac:dyDescent="0.3">
      <c r="B154" s="65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129" t="s">
        <v>192</v>
      </c>
      <c r="AA154" s="126">
        <f t="shared" si="13"/>
        <v>62634</v>
      </c>
      <c r="AB154" s="127">
        <f t="shared" si="14"/>
        <v>62634</v>
      </c>
      <c r="AC154" s="131"/>
      <c r="AD154" s="64"/>
      <c r="AE154" s="64"/>
      <c r="AF154" s="65"/>
      <c r="AG154" s="65"/>
      <c r="AH154" s="65"/>
      <c r="AI154" s="65"/>
      <c r="AJ154" s="65"/>
    </row>
    <row r="155" spans="2:36" ht="14.25" customHeight="1" x14ac:dyDescent="0.3">
      <c r="B155" s="65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129" t="s">
        <v>193</v>
      </c>
      <c r="AA155" s="135">
        <f t="shared" si="13"/>
        <v>3.254585313971913</v>
      </c>
      <c r="AB155" s="136">
        <f t="shared" si="14"/>
        <v>2.1152274492587213</v>
      </c>
      <c r="AC155" s="131"/>
      <c r="AD155" s="64"/>
      <c r="AE155" s="64"/>
      <c r="AF155" s="65"/>
      <c r="AG155" s="65"/>
      <c r="AH155" s="65"/>
      <c r="AI155" s="65"/>
      <c r="AJ155" s="65"/>
    </row>
    <row r="156" spans="2:36" ht="14.25" customHeight="1" x14ac:dyDescent="0.3">
      <c r="B156" s="65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137" t="s">
        <v>194</v>
      </c>
      <c r="AA156" s="138">
        <f>AA102</f>
        <v>0.6379544920728174</v>
      </c>
      <c r="AB156" s="139">
        <f>AA124</f>
        <v>0.55849442427518636</v>
      </c>
      <c r="AC156" s="140"/>
      <c r="AD156" s="64"/>
      <c r="AE156" s="64"/>
      <c r="AF156" s="65"/>
      <c r="AG156" s="65"/>
      <c r="AH156" s="65"/>
      <c r="AI156" s="65"/>
      <c r="AJ156" s="65"/>
    </row>
    <row r="157" spans="2:36" ht="14.25" customHeight="1" x14ac:dyDescent="0.3">
      <c r="B157" s="65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129" t="s">
        <v>195</v>
      </c>
      <c r="AA157" s="135">
        <f>AA101</f>
        <v>0.8433612808158728</v>
      </c>
      <c r="AB157" s="136">
        <f>AA123</f>
        <v>0.61337499744933499</v>
      </c>
      <c r="AC157" s="131"/>
      <c r="AD157" s="64"/>
      <c r="AE157" s="64"/>
      <c r="AF157" s="65"/>
      <c r="AG157" s="65"/>
      <c r="AH157" s="65"/>
      <c r="AI157" s="65"/>
      <c r="AJ157" s="65"/>
    </row>
    <row r="158" spans="2:36" ht="33.75" customHeight="1" x14ac:dyDescent="0.3">
      <c r="B158" s="65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5"/>
      <c r="AH158" s="65"/>
      <c r="AI158" s="65"/>
      <c r="AJ158" s="65"/>
    </row>
    <row r="159" spans="2:36" ht="44.25" customHeight="1" x14ac:dyDescent="0.3">
      <c r="B159" s="65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141" t="s">
        <v>196</v>
      </c>
      <c r="AD159" s="110"/>
      <c r="AE159" s="64"/>
      <c r="AF159" s="65"/>
      <c r="AG159" s="65"/>
      <c r="AH159" s="65"/>
      <c r="AI159" s="65"/>
      <c r="AJ159" s="65"/>
    </row>
    <row r="160" spans="2:36" ht="48" customHeight="1" x14ac:dyDescent="0.3">
      <c r="B160" s="65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141" t="s">
        <v>197</v>
      </c>
      <c r="AD160" s="110"/>
      <c r="AE160" s="64"/>
      <c r="AF160" s="65"/>
      <c r="AG160" s="65"/>
      <c r="AH160" s="65"/>
      <c r="AI160" s="65"/>
      <c r="AJ160" s="65"/>
    </row>
    <row r="161" spans="2:36" ht="33.75" customHeight="1" x14ac:dyDescent="0.3">
      <c r="B161" s="65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141" t="s">
        <v>198</v>
      </c>
      <c r="AD161" s="64"/>
      <c r="AE161" s="64"/>
      <c r="AF161" s="65"/>
      <c r="AG161" s="65"/>
      <c r="AH161" s="65"/>
      <c r="AI161" s="65"/>
      <c r="AJ161" s="65"/>
    </row>
    <row r="162" spans="2:36" ht="33.75" customHeight="1" x14ac:dyDescent="0.3">
      <c r="B162" s="65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5"/>
      <c r="AH162" s="65"/>
      <c r="AI162" s="65"/>
      <c r="AJ162" s="65"/>
    </row>
    <row r="163" spans="2:36" ht="33.75" customHeight="1" x14ac:dyDescent="0.3">
      <c r="B163" s="65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5"/>
      <c r="AH163" s="65"/>
      <c r="AI163" s="65"/>
      <c r="AJ163" s="65"/>
    </row>
    <row r="164" spans="2:36" ht="33.75" customHeight="1" x14ac:dyDescent="0.3">
      <c r="B164" s="65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5"/>
      <c r="AH164" s="65"/>
      <c r="AI164" s="65"/>
      <c r="AJ164" s="65"/>
    </row>
    <row r="165" spans="2:36" ht="33.75" customHeight="1" x14ac:dyDescent="0.3">
      <c r="B165" s="65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5"/>
      <c r="AH165" s="65"/>
      <c r="AI165" s="65"/>
      <c r="AJ165" s="65"/>
    </row>
    <row r="166" spans="2:36" ht="33.75" customHeight="1" x14ac:dyDescent="0.3">
      <c r="B166" s="65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5"/>
      <c r="AH166" s="65"/>
      <c r="AI166" s="65"/>
      <c r="AJ166" s="65"/>
    </row>
    <row r="167" spans="2:36" ht="33.75" customHeight="1" x14ac:dyDescent="0.3">
      <c r="B167" s="65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5"/>
      <c r="AH167" s="65"/>
      <c r="AI167" s="65"/>
      <c r="AJ167" s="65"/>
    </row>
    <row r="168" spans="2:36" ht="33.75" customHeight="1" x14ac:dyDescent="0.3">
      <c r="B168" s="65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5"/>
      <c r="AH168" s="65"/>
      <c r="AI168" s="65"/>
      <c r="AJ168" s="65"/>
    </row>
    <row r="169" spans="2:36" ht="33.75" customHeight="1" x14ac:dyDescent="0.3">
      <c r="B169" s="65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5"/>
      <c r="AH169" s="65"/>
      <c r="AI169" s="65"/>
      <c r="AJ169" s="65"/>
    </row>
    <row r="170" spans="2:36" ht="33.75" customHeight="1" x14ac:dyDescent="0.3">
      <c r="B170" s="65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5"/>
      <c r="AH170" s="65"/>
      <c r="AI170" s="65"/>
      <c r="AJ170" s="65"/>
    </row>
    <row r="171" spans="2:36" ht="33.75" customHeight="1" x14ac:dyDescent="0.3">
      <c r="B171" s="65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5"/>
      <c r="AH171" s="65"/>
      <c r="AI171" s="65"/>
      <c r="AJ171" s="65"/>
    </row>
    <row r="172" spans="2:36" ht="14.25" customHeight="1" x14ac:dyDescent="0.3">
      <c r="B172" s="65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5"/>
      <c r="AH172" s="65"/>
      <c r="AI172" s="65"/>
      <c r="AJ172" s="65"/>
    </row>
    <row r="173" spans="2:36" ht="14.25" customHeight="1" x14ac:dyDescent="0.3">
      <c r="B173" s="65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5"/>
      <c r="AH173" s="65"/>
      <c r="AI173" s="65"/>
      <c r="AJ173" s="65"/>
    </row>
    <row r="174" spans="2:36" ht="14.25" customHeight="1" x14ac:dyDescent="0.3">
      <c r="B174" s="65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5"/>
      <c r="AH174" s="65"/>
      <c r="AI174" s="65"/>
      <c r="AJ174" s="65"/>
    </row>
    <row r="175" spans="2:36" ht="14.25" customHeight="1" x14ac:dyDescent="0.3">
      <c r="B175" s="65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5"/>
      <c r="AH175" s="65"/>
      <c r="AI175" s="65"/>
      <c r="AJ175" s="65"/>
    </row>
    <row r="176" spans="2:36" ht="14.25" customHeight="1" x14ac:dyDescent="0.3">
      <c r="B176" s="65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5"/>
      <c r="AH176" s="65"/>
      <c r="AI176" s="65"/>
      <c r="AJ176" s="65"/>
    </row>
    <row r="177" spans="2:36" ht="14.25" customHeight="1" x14ac:dyDescent="0.3">
      <c r="B177" s="65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5"/>
      <c r="AH177" s="65"/>
      <c r="AI177" s="65"/>
      <c r="AJ177" s="65"/>
    </row>
    <row r="178" spans="2:36" ht="14.25" customHeight="1" x14ac:dyDescent="0.3">
      <c r="B178" s="65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5"/>
      <c r="AH178" s="65"/>
      <c r="AI178" s="65"/>
      <c r="AJ178" s="65"/>
    </row>
    <row r="179" spans="2:36" ht="14.25" customHeight="1" x14ac:dyDescent="0.3">
      <c r="B179" s="65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5"/>
      <c r="AH179" s="65"/>
      <c r="AI179" s="65"/>
      <c r="AJ179" s="65"/>
    </row>
    <row r="180" spans="2:36" ht="14.25" customHeight="1" x14ac:dyDescent="0.3">
      <c r="B180" s="65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5"/>
      <c r="AH180" s="65"/>
      <c r="AI180" s="65"/>
      <c r="AJ180" s="65"/>
    </row>
    <row r="181" spans="2:36" ht="14.25" customHeight="1" x14ac:dyDescent="0.3">
      <c r="B181" s="65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5"/>
      <c r="AH181" s="65"/>
      <c r="AI181" s="65"/>
      <c r="AJ181" s="65"/>
    </row>
    <row r="182" spans="2:36" ht="14.25" customHeight="1" x14ac:dyDescent="0.3">
      <c r="B182" s="65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5"/>
      <c r="AH182" s="65"/>
      <c r="AI182" s="65"/>
      <c r="AJ182" s="65"/>
    </row>
    <row r="183" spans="2:36" ht="14.25" customHeight="1" x14ac:dyDescent="0.3">
      <c r="B183" s="65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5"/>
      <c r="AH183" s="65"/>
      <c r="AI183" s="65"/>
      <c r="AJ183" s="65"/>
    </row>
    <row r="184" spans="2:36" ht="14.25" customHeight="1" x14ac:dyDescent="0.3">
      <c r="B184" s="65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5"/>
      <c r="AH184" s="65"/>
      <c r="AI184" s="65"/>
      <c r="AJ184" s="65"/>
    </row>
    <row r="185" spans="2:36" ht="14.25" customHeight="1" x14ac:dyDescent="0.3">
      <c r="B185" s="65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5"/>
      <c r="AH185" s="65"/>
      <c r="AI185" s="65"/>
      <c r="AJ185" s="65"/>
    </row>
    <row r="186" spans="2:36" ht="14.25" customHeight="1" x14ac:dyDescent="0.3">
      <c r="B186" s="65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5"/>
      <c r="AH186" s="65"/>
      <c r="AI186" s="65"/>
      <c r="AJ186" s="65"/>
    </row>
    <row r="187" spans="2:36" ht="14.25" customHeight="1" x14ac:dyDescent="0.3">
      <c r="B187" s="65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5"/>
      <c r="AH187" s="65"/>
      <c r="AI187" s="65"/>
      <c r="AJ187" s="65"/>
    </row>
    <row r="188" spans="2:36" ht="14.25" customHeight="1" x14ac:dyDescent="0.3">
      <c r="B188" s="65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5"/>
      <c r="AH188" s="65"/>
      <c r="AI188" s="65"/>
      <c r="AJ188" s="65"/>
    </row>
    <row r="189" spans="2:36" ht="14.25" customHeight="1" x14ac:dyDescent="0.3">
      <c r="B189" s="65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5"/>
      <c r="AH189" s="65"/>
      <c r="AI189" s="65"/>
      <c r="AJ189" s="65"/>
    </row>
    <row r="190" spans="2:36" ht="14.25" customHeight="1" x14ac:dyDescent="0.3">
      <c r="B190" s="65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5"/>
      <c r="AH190" s="65"/>
      <c r="AI190" s="65"/>
      <c r="AJ190" s="65"/>
    </row>
    <row r="191" spans="2:36" ht="14.25" customHeight="1" x14ac:dyDescent="0.3">
      <c r="B191" s="65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5"/>
      <c r="AH191" s="65"/>
      <c r="AI191" s="65"/>
      <c r="AJ191" s="65"/>
    </row>
    <row r="192" spans="2:36" ht="14.25" customHeight="1" x14ac:dyDescent="0.3">
      <c r="B192" s="65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5"/>
      <c r="AH192" s="65"/>
      <c r="AI192" s="65"/>
      <c r="AJ192" s="65"/>
    </row>
    <row r="193" spans="2:36" ht="14.25" customHeight="1" x14ac:dyDescent="0.3">
      <c r="B193" s="65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5"/>
      <c r="AH193" s="65"/>
      <c r="AI193" s="65"/>
      <c r="AJ193" s="65"/>
    </row>
    <row r="194" spans="2:36" ht="14.25" customHeight="1" x14ac:dyDescent="0.3">
      <c r="B194" s="65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5"/>
      <c r="AH194" s="65"/>
      <c r="AI194" s="65"/>
      <c r="AJ194" s="65"/>
    </row>
    <row r="195" spans="2:36" ht="14.25" customHeight="1" x14ac:dyDescent="0.3">
      <c r="B195" s="65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5"/>
      <c r="AH195" s="65"/>
      <c r="AI195" s="65"/>
      <c r="AJ195" s="65"/>
    </row>
    <row r="196" spans="2:36" ht="14.25" customHeight="1" x14ac:dyDescent="0.3">
      <c r="B196" s="65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5"/>
      <c r="AH196" s="65"/>
      <c r="AI196" s="65"/>
      <c r="AJ196" s="65"/>
    </row>
    <row r="197" spans="2:36" ht="14.25" customHeight="1" x14ac:dyDescent="0.3">
      <c r="B197" s="65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5"/>
      <c r="AH197" s="65"/>
      <c r="AI197" s="65"/>
      <c r="AJ197" s="65"/>
    </row>
    <row r="198" spans="2:36" ht="14.25" customHeight="1" x14ac:dyDescent="0.3">
      <c r="B198" s="65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5"/>
      <c r="AH198" s="65"/>
      <c r="AI198" s="65"/>
      <c r="AJ198" s="65"/>
    </row>
    <row r="199" spans="2:36" ht="14.25" customHeight="1" x14ac:dyDescent="0.3">
      <c r="B199" s="65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5"/>
      <c r="AH199" s="65"/>
      <c r="AI199" s="65"/>
      <c r="AJ199" s="65"/>
    </row>
    <row r="200" spans="2:36" ht="14.25" customHeight="1" x14ac:dyDescent="0.3">
      <c r="B200" s="65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5"/>
      <c r="AH200" s="65"/>
      <c r="AI200" s="65"/>
      <c r="AJ200" s="65"/>
    </row>
    <row r="201" spans="2:36" ht="14.25" customHeight="1" x14ac:dyDescent="0.3">
      <c r="B201" s="65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5"/>
      <c r="AH201" s="65"/>
      <c r="AI201" s="65"/>
      <c r="AJ201" s="65"/>
    </row>
    <row r="202" spans="2:36" ht="14.25" customHeight="1" x14ac:dyDescent="0.3">
      <c r="B202" s="65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5"/>
      <c r="AH202" s="65"/>
      <c r="AI202" s="65"/>
      <c r="AJ202" s="65"/>
    </row>
    <row r="203" spans="2:36" ht="14.25" customHeight="1" x14ac:dyDescent="0.3">
      <c r="B203" s="65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5"/>
      <c r="AH203" s="65"/>
      <c r="AI203" s="65"/>
      <c r="AJ203" s="65"/>
    </row>
    <row r="204" spans="2:36" ht="14.25" customHeight="1" x14ac:dyDescent="0.3">
      <c r="B204" s="65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5"/>
      <c r="AG204" s="65"/>
      <c r="AH204" s="65"/>
      <c r="AI204" s="65"/>
      <c r="AJ204" s="65"/>
    </row>
    <row r="205" spans="2:36" ht="14.25" customHeight="1" x14ac:dyDescent="0.3">
      <c r="B205" s="65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5"/>
      <c r="AG205" s="65"/>
      <c r="AH205" s="65"/>
      <c r="AI205" s="65"/>
      <c r="AJ205" s="65"/>
    </row>
    <row r="206" spans="2:36" ht="14.25" customHeight="1" x14ac:dyDescent="0.3">
      <c r="B206" s="65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5"/>
      <c r="AG206" s="65"/>
      <c r="AH206" s="65"/>
      <c r="AI206" s="65"/>
      <c r="AJ206" s="65"/>
    </row>
    <row r="207" spans="2:36" ht="14.25" customHeight="1" x14ac:dyDescent="0.3">
      <c r="B207" s="65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5"/>
      <c r="AG207" s="65"/>
      <c r="AH207" s="65"/>
      <c r="AI207" s="65"/>
      <c r="AJ207" s="65"/>
    </row>
    <row r="208" spans="2:36" ht="14.25" customHeight="1" x14ac:dyDescent="0.3">
      <c r="B208" s="65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5"/>
      <c r="AG208" s="65"/>
      <c r="AH208" s="65"/>
      <c r="AI208" s="65"/>
      <c r="AJ208" s="65"/>
    </row>
    <row r="209" spans="2:36" ht="14.25" customHeight="1" x14ac:dyDescent="0.3">
      <c r="B209" s="65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5"/>
      <c r="AG209" s="65"/>
      <c r="AH209" s="65"/>
      <c r="AI209" s="65"/>
      <c r="AJ209" s="65"/>
    </row>
    <row r="210" spans="2:36" ht="14.25" customHeight="1" x14ac:dyDescent="0.3">
      <c r="B210" s="65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5"/>
      <c r="AG210" s="65"/>
      <c r="AH210" s="65"/>
      <c r="AI210" s="65"/>
      <c r="AJ210" s="65"/>
    </row>
    <row r="211" spans="2:36" ht="14.25" customHeight="1" x14ac:dyDescent="0.3">
      <c r="B211" s="65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5"/>
      <c r="AG211" s="65"/>
      <c r="AH211" s="65"/>
      <c r="AI211" s="65"/>
      <c r="AJ211" s="65"/>
    </row>
    <row r="212" spans="2:36" ht="14.25" customHeight="1" x14ac:dyDescent="0.3">
      <c r="B212" s="65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5"/>
      <c r="AG212" s="65"/>
      <c r="AH212" s="65"/>
      <c r="AI212" s="65"/>
      <c r="AJ212" s="65"/>
    </row>
    <row r="213" spans="2:36" ht="14.25" customHeight="1" x14ac:dyDescent="0.3">
      <c r="B213" s="65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5"/>
      <c r="AG213" s="65"/>
      <c r="AH213" s="65"/>
      <c r="AI213" s="65"/>
      <c r="AJ213" s="65"/>
    </row>
    <row r="214" spans="2:36" ht="14.25" customHeight="1" x14ac:dyDescent="0.3">
      <c r="B214" s="65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5"/>
      <c r="AG214" s="65"/>
      <c r="AH214" s="65"/>
      <c r="AI214" s="65"/>
      <c r="AJ214" s="65"/>
    </row>
    <row r="215" spans="2:36" ht="14.25" customHeight="1" x14ac:dyDescent="0.3">
      <c r="B215" s="65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5"/>
      <c r="AG215" s="65"/>
      <c r="AH215" s="65"/>
      <c r="AI215" s="65"/>
      <c r="AJ215" s="65"/>
    </row>
    <row r="216" spans="2:36" ht="14.25" customHeight="1" x14ac:dyDescent="0.3">
      <c r="B216" s="65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5"/>
      <c r="AG216" s="65"/>
      <c r="AH216" s="65"/>
      <c r="AI216" s="65"/>
      <c r="AJ216" s="65"/>
    </row>
    <row r="217" spans="2:36" ht="14.25" customHeight="1" x14ac:dyDescent="0.3">
      <c r="B217" s="65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5"/>
      <c r="AG217" s="65"/>
      <c r="AH217" s="65"/>
      <c r="AI217" s="65"/>
      <c r="AJ217" s="65"/>
    </row>
    <row r="218" spans="2:36" ht="14.25" customHeight="1" x14ac:dyDescent="0.3">
      <c r="B218" s="65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5"/>
      <c r="AG218" s="65"/>
      <c r="AH218" s="65"/>
      <c r="AI218" s="65"/>
      <c r="AJ218" s="65"/>
    </row>
    <row r="219" spans="2:36" ht="14.25" customHeight="1" x14ac:dyDescent="0.3">
      <c r="B219" s="65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5"/>
      <c r="AG219" s="65"/>
      <c r="AH219" s="65"/>
      <c r="AI219" s="65"/>
      <c r="AJ219" s="65"/>
    </row>
    <row r="220" spans="2:36" ht="14.25" customHeight="1" x14ac:dyDescent="0.3">
      <c r="B220" s="65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5"/>
      <c r="AG220" s="65"/>
      <c r="AH220" s="65"/>
      <c r="AI220" s="65"/>
      <c r="AJ220" s="65"/>
    </row>
    <row r="221" spans="2:36" ht="14.25" customHeight="1" x14ac:dyDescent="0.3">
      <c r="B221" s="65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5"/>
      <c r="AG221" s="65"/>
      <c r="AH221" s="65"/>
      <c r="AI221" s="65"/>
      <c r="AJ221" s="65"/>
    </row>
    <row r="222" spans="2:36" ht="14.25" customHeight="1" x14ac:dyDescent="0.3">
      <c r="B222" s="65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5"/>
      <c r="AG222" s="65"/>
      <c r="AH222" s="65"/>
      <c r="AI222" s="65"/>
      <c r="AJ222" s="65"/>
    </row>
    <row r="223" spans="2:36" ht="14.25" customHeight="1" x14ac:dyDescent="0.3">
      <c r="B223" s="65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5"/>
      <c r="AG223" s="65"/>
      <c r="AH223" s="65"/>
      <c r="AI223" s="65"/>
      <c r="AJ223" s="65"/>
    </row>
    <row r="224" spans="2:36" ht="14.25" customHeight="1" x14ac:dyDescent="0.3">
      <c r="B224" s="65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5"/>
      <c r="AG224" s="65"/>
      <c r="AH224" s="65"/>
      <c r="AI224" s="65"/>
      <c r="AJ224" s="65"/>
    </row>
    <row r="225" spans="2:36" ht="14.25" customHeight="1" x14ac:dyDescent="0.3">
      <c r="B225" s="65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5"/>
      <c r="AG225" s="65"/>
      <c r="AH225" s="65"/>
      <c r="AI225" s="65"/>
      <c r="AJ225" s="65"/>
    </row>
    <row r="226" spans="2:36" ht="14.25" customHeight="1" x14ac:dyDescent="0.3">
      <c r="B226" s="65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5"/>
      <c r="AG226" s="65"/>
      <c r="AH226" s="65"/>
      <c r="AI226" s="65"/>
      <c r="AJ226" s="65"/>
    </row>
    <row r="227" spans="2:36" ht="14.25" customHeight="1" x14ac:dyDescent="0.3">
      <c r="B227" s="65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5"/>
      <c r="AG227" s="65"/>
      <c r="AH227" s="65"/>
      <c r="AI227" s="65"/>
      <c r="AJ227" s="65"/>
    </row>
    <row r="228" spans="2:36" ht="14.25" customHeight="1" x14ac:dyDescent="0.3">
      <c r="B228" s="65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5"/>
      <c r="AG228" s="65"/>
      <c r="AH228" s="65"/>
      <c r="AI228" s="65"/>
      <c r="AJ228" s="65"/>
    </row>
    <row r="229" spans="2:36" ht="14.25" customHeight="1" x14ac:dyDescent="0.3">
      <c r="B229" s="65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5"/>
      <c r="AG229" s="65"/>
      <c r="AH229" s="65"/>
      <c r="AI229" s="65"/>
      <c r="AJ229" s="65"/>
    </row>
    <row r="230" spans="2:36" ht="14.25" customHeight="1" x14ac:dyDescent="0.3">
      <c r="B230" s="65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5"/>
      <c r="AG230" s="65"/>
      <c r="AH230" s="65"/>
      <c r="AI230" s="65"/>
      <c r="AJ230" s="65"/>
    </row>
    <row r="231" spans="2:36" ht="14.25" customHeight="1" x14ac:dyDescent="0.3">
      <c r="B231" s="65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5"/>
      <c r="AG231" s="65"/>
      <c r="AH231" s="65"/>
      <c r="AI231" s="65"/>
      <c r="AJ231" s="65"/>
    </row>
    <row r="232" spans="2:36" ht="14.25" customHeight="1" x14ac:dyDescent="0.3">
      <c r="B232" s="65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5"/>
      <c r="AG232" s="65"/>
      <c r="AH232" s="65"/>
      <c r="AI232" s="65"/>
      <c r="AJ232" s="65"/>
    </row>
    <row r="233" spans="2:36" ht="14.25" customHeight="1" x14ac:dyDescent="0.3">
      <c r="B233" s="65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5"/>
      <c r="AG233" s="65"/>
      <c r="AH233" s="65"/>
      <c r="AI233" s="65"/>
      <c r="AJ233" s="65"/>
    </row>
    <row r="234" spans="2:36" ht="14.25" customHeight="1" x14ac:dyDescent="0.3">
      <c r="B234" s="65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5"/>
      <c r="AG234" s="65"/>
      <c r="AH234" s="65"/>
      <c r="AI234" s="65"/>
      <c r="AJ234" s="65"/>
    </row>
    <row r="235" spans="2:36" ht="14.25" customHeight="1" x14ac:dyDescent="0.3">
      <c r="B235" s="65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5"/>
      <c r="AG235" s="65"/>
      <c r="AH235" s="65"/>
      <c r="AI235" s="65"/>
      <c r="AJ235" s="65"/>
    </row>
    <row r="236" spans="2:36" ht="14.25" customHeight="1" x14ac:dyDescent="0.3">
      <c r="B236" s="65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5"/>
      <c r="AG236" s="65"/>
      <c r="AH236" s="65"/>
      <c r="AI236" s="65"/>
      <c r="AJ236" s="65"/>
    </row>
    <row r="237" spans="2:36" ht="14.25" customHeight="1" x14ac:dyDescent="0.3">
      <c r="B237" s="65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5"/>
      <c r="AG237" s="65"/>
      <c r="AH237" s="65"/>
      <c r="AI237" s="65"/>
      <c r="AJ237" s="65"/>
    </row>
    <row r="238" spans="2:36" ht="14.25" customHeight="1" x14ac:dyDescent="0.3">
      <c r="B238" s="65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5"/>
      <c r="AG238" s="65"/>
      <c r="AH238" s="65"/>
      <c r="AI238" s="65"/>
      <c r="AJ238" s="65"/>
    </row>
    <row r="239" spans="2:36" ht="14.25" customHeight="1" x14ac:dyDescent="0.3">
      <c r="B239" s="65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5"/>
      <c r="AG239" s="65"/>
      <c r="AH239" s="65"/>
      <c r="AI239" s="65"/>
      <c r="AJ239" s="65"/>
    </row>
    <row r="240" spans="2:36" ht="14.25" customHeight="1" x14ac:dyDescent="0.3">
      <c r="B240" s="65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5"/>
      <c r="AG240" s="65"/>
      <c r="AH240" s="65"/>
      <c r="AI240" s="65"/>
      <c r="AJ240" s="65"/>
    </row>
    <row r="241" spans="2:36" ht="14.25" customHeight="1" x14ac:dyDescent="0.3">
      <c r="B241" s="65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5"/>
      <c r="AG241" s="65"/>
      <c r="AH241" s="65"/>
      <c r="AI241" s="65"/>
      <c r="AJ241" s="65"/>
    </row>
    <row r="242" spans="2:36" ht="14.25" customHeight="1" x14ac:dyDescent="0.3">
      <c r="B242" s="65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5"/>
      <c r="AG242" s="65"/>
      <c r="AH242" s="65"/>
      <c r="AI242" s="65"/>
      <c r="AJ242" s="65"/>
    </row>
    <row r="243" spans="2:36" ht="14.25" customHeight="1" x14ac:dyDescent="0.3">
      <c r="B243" s="65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5"/>
      <c r="AG243" s="65"/>
      <c r="AH243" s="65"/>
      <c r="AI243" s="65"/>
      <c r="AJ243" s="65"/>
    </row>
    <row r="244" spans="2:36" ht="14.25" customHeight="1" x14ac:dyDescent="0.3">
      <c r="B244" s="65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5"/>
      <c r="AG244" s="65"/>
      <c r="AH244" s="65"/>
      <c r="AI244" s="65"/>
      <c r="AJ244" s="65"/>
    </row>
    <row r="245" spans="2:36" ht="14.25" customHeight="1" x14ac:dyDescent="0.3">
      <c r="B245" s="65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5"/>
      <c r="AG245" s="65"/>
      <c r="AH245" s="65"/>
      <c r="AI245" s="65"/>
      <c r="AJ245" s="65"/>
    </row>
    <row r="246" spans="2:36" ht="14.25" customHeight="1" x14ac:dyDescent="0.3">
      <c r="B246" s="65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5"/>
      <c r="AG246" s="65"/>
      <c r="AH246" s="65"/>
      <c r="AI246" s="65"/>
      <c r="AJ246" s="65"/>
    </row>
    <row r="247" spans="2:36" ht="14.25" customHeight="1" x14ac:dyDescent="0.3">
      <c r="B247" s="65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5"/>
      <c r="AG247" s="65"/>
      <c r="AH247" s="65"/>
      <c r="AI247" s="65"/>
      <c r="AJ247" s="65"/>
    </row>
    <row r="248" spans="2:36" ht="14.25" customHeight="1" x14ac:dyDescent="0.3">
      <c r="B248" s="65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5"/>
      <c r="AG248" s="65"/>
      <c r="AH248" s="65"/>
      <c r="AI248" s="65"/>
      <c r="AJ248" s="65"/>
    </row>
    <row r="249" spans="2:36" ht="14.25" customHeight="1" x14ac:dyDescent="0.3">
      <c r="B249" s="65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5"/>
      <c r="AG249" s="65"/>
      <c r="AH249" s="65"/>
      <c r="AI249" s="65"/>
      <c r="AJ249" s="65"/>
    </row>
    <row r="250" spans="2:36" ht="14.25" customHeight="1" x14ac:dyDescent="0.3">
      <c r="B250" s="65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5"/>
      <c r="AG250" s="65"/>
      <c r="AH250" s="65"/>
      <c r="AI250" s="65"/>
      <c r="AJ250" s="65"/>
    </row>
    <row r="251" spans="2:36" ht="14.25" customHeight="1" x14ac:dyDescent="0.3">
      <c r="B251" s="65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5"/>
      <c r="AG251" s="65"/>
      <c r="AH251" s="65"/>
      <c r="AI251" s="65"/>
      <c r="AJ251" s="65"/>
    </row>
    <row r="252" spans="2:36" ht="14.25" customHeight="1" x14ac:dyDescent="0.3">
      <c r="B252" s="65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5"/>
      <c r="AG252" s="65"/>
      <c r="AH252" s="65"/>
      <c r="AI252" s="65"/>
      <c r="AJ252" s="65"/>
    </row>
    <row r="253" spans="2:36" ht="14.25" customHeight="1" x14ac:dyDescent="0.3">
      <c r="B253" s="65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5"/>
      <c r="AG253" s="65"/>
      <c r="AH253" s="65"/>
      <c r="AI253" s="65"/>
      <c r="AJ253" s="65"/>
    </row>
    <row r="254" spans="2:36" ht="14.25" customHeight="1" x14ac:dyDescent="0.3">
      <c r="B254" s="65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5"/>
      <c r="AG254" s="65"/>
      <c r="AH254" s="65"/>
      <c r="AI254" s="65"/>
      <c r="AJ254" s="65"/>
    </row>
    <row r="255" spans="2:36" ht="14.25" customHeight="1" x14ac:dyDescent="0.3">
      <c r="B255" s="65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5"/>
      <c r="AG255" s="65"/>
      <c r="AH255" s="65"/>
      <c r="AI255" s="65"/>
      <c r="AJ255" s="65"/>
    </row>
    <row r="256" spans="2:36" ht="14.25" customHeight="1" x14ac:dyDescent="0.3">
      <c r="B256" s="65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5"/>
      <c r="AG256" s="65"/>
      <c r="AH256" s="65"/>
      <c r="AI256" s="65"/>
      <c r="AJ256" s="65"/>
    </row>
    <row r="257" spans="2:36" ht="14.25" customHeight="1" x14ac:dyDescent="0.3">
      <c r="B257" s="65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5"/>
      <c r="AG257" s="65"/>
      <c r="AH257" s="65"/>
      <c r="AI257" s="65"/>
      <c r="AJ257" s="65"/>
    </row>
    <row r="258" spans="2:36" ht="14.25" customHeight="1" x14ac:dyDescent="0.3">
      <c r="B258" s="65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5"/>
      <c r="AG258" s="65"/>
      <c r="AH258" s="65"/>
      <c r="AI258" s="65"/>
      <c r="AJ258" s="65"/>
    </row>
    <row r="259" spans="2:36" ht="14.25" customHeight="1" x14ac:dyDescent="0.3">
      <c r="B259" s="65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5"/>
      <c r="AG259" s="65"/>
      <c r="AH259" s="65"/>
      <c r="AI259" s="65"/>
      <c r="AJ259" s="65"/>
    </row>
    <row r="260" spans="2:36" ht="14.25" customHeight="1" x14ac:dyDescent="0.3">
      <c r="B260" s="65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5"/>
      <c r="AG260" s="65"/>
      <c r="AH260" s="65"/>
      <c r="AI260" s="65"/>
      <c r="AJ260" s="65"/>
    </row>
    <row r="261" spans="2:36" ht="14.25" customHeight="1" x14ac:dyDescent="0.3">
      <c r="B261" s="65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5"/>
      <c r="AG261" s="65"/>
      <c r="AH261" s="65"/>
      <c r="AI261" s="65"/>
      <c r="AJ261" s="65"/>
    </row>
    <row r="262" spans="2:36" ht="14.25" customHeight="1" x14ac:dyDescent="0.3">
      <c r="B262" s="65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5"/>
      <c r="AG262" s="65"/>
      <c r="AH262" s="65"/>
      <c r="AI262" s="65"/>
      <c r="AJ262" s="65"/>
    </row>
    <row r="263" spans="2:36" ht="14.25" customHeight="1" x14ac:dyDescent="0.3">
      <c r="B263" s="65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5"/>
      <c r="AG263" s="65"/>
      <c r="AH263" s="65"/>
      <c r="AI263" s="65"/>
      <c r="AJ263" s="65"/>
    </row>
    <row r="264" spans="2:36" ht="14.25" customHeight="1" x14ac:dyDescent="0.3">
      <c r="B264" s="65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5"/>
      <c r="AG264" s="65"/>
      <c r="AH264" s="65"/>
      <c r="AI264" s="65"/>
      <c r="AJ264" s="65"/>
    </row>
    <row r="265" spans="2:36" ht="14.25" customHeight="1" x14ac:dyDescent="0.3">
      <c r="B265" s="65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5"/>
      <c r="AG265" s="65"/>
      <c r="AH265" s="65"/>
      <c r="AI265" s="65"/>
      <c r="AJ265" s="65"/>
    </row>
    <row r="266" spans="2:36" ht="14.25" customHeight="1" x14ac:dyDescent="0.3">
      <c r="B266" s="65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5"/>
      <c r="AG266" s="65"/>
      <c r="AH266" s="65"/>
      <c r="AI266" s="65"/>
      <c r="AJ266" s="65"/>
    </row>
    <row r="267" spans="2:36" ht="14.25" customHeight="1" x14ac:dyDescent="0.3">
      <c r="B267" s="65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5"/>
      <c r="AG267" s="65"/>
      <c r="AH267" s="65"/>
      <c r="AI267" s="65"/>
      <c r="AJ267" s="65"/>
    </row>
    <row r="268" spans="2:36" ht="14.25" customHeight="1" x14ac:dyDescent="0.3">
      <c r="B268" s="65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5"/>
      <c r="AG268" s="65"/>
      <c r="AH268" s="65"/>
      <c r="AI268" s="65"/>
      <c r="AJ268" s="65"/>
    </row>
    <row r="269" spans="2:36" ht="14.25" customHeight="1" x14ac:dyDescent="0.3">
      <c r="B269" s="65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5"/>
      <c r="AG269" s="65"/>
      <c r="AH269" s="65"/>
      <c r="AI269" s="65"/>
      <c r="AJ269" s="65"/>
    </row>
    <row r="270" spans="2:36" ht="14.25" customHeight="1" x14ac:dyDescent="0.3">
      <c r="B270" s="65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5"/>
      <c r="AG270" s="65"/>
      <c r="AH270" s="65"/>
      <c r="AI270" s="65"/>
      <c r="AJ270" s="65"/>
    </row>
    <row r="271" spans="2:36" ht="14.25" customHeight="1" x14ac:dyDescent="0.3">
      <c r="B271" s="65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5"/>
      <c r="AG271" s="65"/>
      <c r="AH271" s="65"/>
      <c r="AI271" s="65"/>
      <c r="AJ271" s="65"/>
    </row>
    <row r="272" spans="2:36" ht="14.25" customHeight="1" x14ac:dyDescent="0.3">
      <c r="B272" s="65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5"/>
      <c r="AG272" s="65"/>
      <c r="AH272" s="65"/>
      <c r="AI272" s="65"/>
      <c r="AJ272" s="65"/>
    </row>
    <row r="273" spans="2:36" ht="14.25" customHeight="1" x14ac:dyDescent="0.3">
      <c r="B273" s="65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5"/>
      <c r="AG273" s="65"/>
      <c r="AH273" s="65"/>
      <c r="AI273" s="65"/>
      <c r="AJ273" s="65"/>
    </row>
    <row r="274" spans="2:36" ht="14.25" customHeight="1" x14ac:dyDescent="0.3">
      <c r="B274" s="65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5"/>
      <c r="AG274" s="65"/>
      <c r="AH274" s="65"/>
      <c r="AI274" s="65"/>
      <c r="AJ274" s="65"/>
    </row>
    <row r="275" spans="2:36" ht="14.25" customHeight="1" x14ac:dyDescent="0.3">
      <c r="B275" s="65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5"/>
      <c r="AG275" s="65"/>
      <c r="AH275" s="65"/>
      <c r="AI275" s="65"/>
      <c r="AJ275" s="65"/>
    </row>
    <row r="276" spans="2:36" ht="14.25" customHeight="1" x14ac:dyDescent="0.3">
      <c r="B276" s="65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5"/>
      <c r="AG276" s="65"/>
      <c r="AH276" s="65"/>
      <c r="AI276" s="65"/>
      <c r="AJ276" s="65"/>
    </row>
    <row r="277" spans="2:36" ht="14.25" customHeight="1" x14ac:dyDescent="0.3">
      <c r="B277" s="65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5"/>
      <c r="AG277" s="65"/>
      <c r="AH277" s="65"/>
      <c r="AI277" s="65"/>
      <c r="AJ277" s="65"/>
    </row>
    <row r="278" spans="2:36" ht="14.25" customHeight="1" x14ac:dyDescent="0.3">
      <c r="B278" s="65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5"/>
      <c r="AG278" s="65"/>
      <c r="AH278" s="65"/>
      <c r="AI278" s="65"/>
      <c r="AJ278" s="65"/>
    </row>
    <row r="279" spans="2:36" ht="14.25" customHeight="1" x14ac:dyDescent="0.3">
      <c r="B279" s="65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5"/>
      <c r="AG279" s="65"/>
      <c r="AH279" s="65"/>
      <c r="AI279" s="65"/>
      <c r="AJ279" s="65"/>
    </row>
    <row r="280" spans="2:36" ht="14.25" customHeight="1" x14ac:dyDescent="0.3">
      <c r="B280" s="65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5"/>
      <c r="AG280" s="65"/>
      <c r="AH280" s="65"/>
      <c r="AI280" s="65"/>
      <c r="AJ280" s="65"/>
    </row>
    <row r="281" spans="2:36" ht="14.25" customHeight="1" x14ac:dyDescent="0.3">
      <c r="B281" s="65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5"/>
      <c r="AG281" s="65"/>
      <c r="AH281" s="65"/>
      <c r="AI281" s="65"/>
      <c r="AJ281" s="65"/>
    </row>
    <row r="282" spans="2:36" ht="14.25" customHeight="1" x14ac:dyDescent="0.3">
      <c r="B282" s="65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5"/>
      <c r="AG282" s="65"/>
      <c r="AH282" s="65"/>
      <c r="AI282" s="65"/>
      <c r="AJ282" s="65"/>
    </row>
    <row r="283" spans="2:36" ht="14.25" customHeight="1" x14ac:dyDescent="0.3">
      <c r="B283" s="65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5"/>
      <c r="AG283" s="65"/>
      <c r="AH283" s="65"/>
      <c r="AI283" s="65"/>
      <c r="AJ283" s="65"/>
    </row>
    <row r="284" spans="2:36" ht="14.25" customHeight="1" x14ac:dyDescent="0.3">
      <c r="B284" s="65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5"/>
      <c r="AG284" s="65"/>
      <c r="AH284" s="65"/>
      <c r="AI284" s="65"/>
      <c r="AJ284" s="65"/>
    </row>
    <row r="285" spans="2:36" ht="14.25" customHeight="1" x14ac:dyDescent="0.3">
      <c r="B285" s="65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5"/>
      <c r="AG285" s="65"/>
      <c r="AH285" s="65"/>
      <c r="AI285" s="65"/>
      <c r="AJ285" s="65"/>
    </row>
    <row r="286" spans="2:36" ht="14.25" customHeight="1" x14ac:dyDescent="0.3">
      <c r="B286" s="65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5"/>
      <c r="AG286" s="65"/>
      <c r="AH286" s="65"/>
      <c r="AI286" s="65"/>
      <c r="AJ286" s="65"/>
    </row>
    <row r="287" spans="2:36" ht="14.25" customHeight="1" x14ac:dyDescent="0.3">
      <c r="B287" s="65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5"/>
      <c r="AG287" s="65"/>
      <c r="AH287" s="65"/>
      <c r="AI287" s="65"/>
      <c r="AJ287" s="65"/>
    </row>
    <row r="288" spans="2:36" ht="14.25" customHeight="1" x14ac:dyDescent="0.3">
      <c r="B288" s="65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5"/>
      <c r="AG288" s="65"/>
      <c r="AH288" s="65"/>
      <c r="AI288" s="65"/>
      <c r="AJ288" s="65"/>
    </row>
    <row r="289" spans="2:36" ht="14.25" customHeight="1" x14ac:dyDescent="0.3">
      <c r="B289" s="65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5"/>
      <c r="AG289" s="65"/>
      <c r="AH289" s="65"/>
      <c r="AI289" s="65"/>
      <c r="AJ289" s="65"/>
    </row>
    <row r="290" spans="2:36" ht="14.25" customHeight="1" x14ac:dyDescent="0.3">
      <c r="B290" s="65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5"/>
      <c r="AG290" s="65"/>
      <c r="AH290" s="65"/>
      <c r="AI290" s="65"/>
      <c r="AJ290" s="65"/>
    </row>
    <row r="291" spans="2:36" ht="14.25" customHeight="1" x14ac:dyDescent="0.3">
      <c r="B291" s="65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5"/>
      <c r="AG291" s="65"/>
      <c r="AH291" s="65"/>
      <c r="AI291" s="65"/>
      <c r="AJ291" s="65"/>
    </row>
    <row r="292" spans="2:36" ht="14.25" customHeight="1" x14ac:dyDescent="0.3">
      <c r="B292" s="65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5"/>
      <c r="AG292" s="65"/>
      <c r="AH292" s="65"/>
      <c r="AI292" s="65"/>
      <c r="AJ292" s="65"/>
    </row>
    <row r="293" spans="2:36" ht="14.25" customHeight="1" x14ac:dyDescent="0.3">
      <c r="B293" s="65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5"/>
      <c r="AG293" s="65"/>
      <c r="AH293" s="65"/>
      <c r="AI293" s="65"/>
      <c r="AJ293" s="65"/>
    </row>
    <row r="294" spans="2:36" ht="14.25" customHeight="1" x14ac:dyDescent="0.3">
      <c r="B294" s="65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5"/>
      <c r="AG294" s="65"/>
      <c r="AH294" s="65"/>
      <c r="AI294" s="65"/>
      <c r="AJ294" s="65"/>
    </row>
    <row r="295" spans="2:36" ht="14.25" customHeight="1" x14ac:dyDescent="0.3">
      <c r="B295" s="65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5"/>
      <c r="AG295" s="65"/>
      <c r="AH295" s="65"/>
      <c r="AI295" s="65"/>
      <c r="AJ295" s="65"/>
    </row>
    <row r="296" spans="2:36" ht="14.25" customHeight="1" x14ac:dyDescent="0.3">
      <c r="B296" s="65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5"/>
      <c r="AG296" s="65"/>
      <c r="AH296" s="65"/>
      <c r="AI296" s="65"/>
      <c r="AJ296" s="65"/>
    </row>
    <row r="297" spans="2:36" ht="14.25" customHeight="1" x14ac:dyDescent="0.3">
      <c r="B297" s="65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5"/>
      <c r="AG297" s="65"/>
      <c r="AH297" s="65"/>
      <c r="AI297" s="65"/>
      <c r="AJ297" s="65"/>
    </row>
    <row r="298" spans="2:36" ht="14.25" customHeight="1" x14ac:dyDescent="0.3">
      <c r="B298" s="65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5"/>
      <c r="AG298" s="65"/>
      <c r="AH298" s="65"/>
      <c r="AI298" s="65"/>
      <c r="AJ298" s="65"/>
    </row>
    <row r="299" spans="2:36" ht="14.25" customHeight="1" x14ac:dyDescent="0.3">
      <c r="B299" s="65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5"/>
      <c r="AG299" s="65"/>
      <c r="AH299" s="65"/>
      <c r="AI299" s="65"/>
      <c r="AJ299" s="65"/>
    </row>
    <row r="300" spans="2:36" ht="14.25" customHeight="1" x14ac:dyDescent="0.3">
      <c r="B300" s="65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5"/>
      <c r="AG300" s="65"/>
      <c r="AH300" s="65"/>
      <c r="AI300" s="65"/>
      <c r="AJ300" s="65"/>
    </row>
    <row r="301" spans="2:36" ht="14.25" customHeight="1" x14ac:dyDescent="0.3">
      <c r="B301" s="65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5"/>
      <c r="AG301" s="65"/>
      <c r="AH301" s="65"/>
      <c r="AI301" s="65"/>
      <c r="AJ301" s="65"/>
    </row>
    <row r="302" spans="2:36" ht="14.25" customHeight="1" x14ac:dyDescent="0.3">
      <c r="B302" s="65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5"/>
      <c r="AG302" s="65"/>
      <c r="AH302" s="65"/>
      <c r="AI302" s="65"/>
      <c r="AJ302" s="65"/>
    </row>
    <row r="303" spans="2:36" ht="14.25" customHeight="1" x14ac:dyDescent="0.3">
      <c r="B303" s="65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5"/>
      <c r="AG303" s="65"/>
      <c r="AH303" s="65"/>
      <c r="AI303" s="65"/>
      <c r="AJ303" s="65"/>
    </row>
    <row r="304" spans="2:36" ht="14.25" customHeight="1" x14ac:dyDescent="0.3">
      <c r="B304" s="65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5"/>
      <c r="AG304" s="65"/>
      <c r="AH304" s="65"/>
      <c r="AI304" s="65"/>
      <c r="AJ304" s="65"/>
    </row>
    <row r="305" spans="2:36" ht="14.25" customHeight="1" x14ac:dyDescent="0.3">
      <c r="B305" s="65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5"/>
      <c r="AG305" s="65"/>
      <c r="AH305" s="65"/>
      <c r="AI305" s="65"/>
      <c r="AJ305" s="65"/>
    </row>
    <row r="306" spans="2:36" ht="14.25" customHeight="1" x14ac:dyDescent="0.3">
      <c r="B306" s="65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5"/>
      <c r="AG306" s="65"/>
      <c r="AH306" s="65"/>
      <c r="AI306" s="65"/>
      <c r="AJ306" s="65"/>
    </row>
    <row r="307" spans="2:36" ht="14.25" customHeight="1" x14ac:dyDescent="0.3">
      <c r="B307" s="65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5"/>
      <c r="AG307" s="65"/>
      <c r="AH307" s="65"/>
      <c r="AI307" s="65"/>
      <c r="AJ307" s="65"/>
    </row>
    <row r="308" spans="2:36" ht="14.25" customHeight="1" x14ac:dyDescent="0.3">
      <c r="B308" s="65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5"/>
      <c r="AG308" s="65"/>
      <c r="AH308" s="65"/>
      <c r="AI308" s="65"/>
      <c r="AJ308" s="65"/>
    </row>
    <row r="309" spans="2:36" ht="14.25" customHeight="1" x14ac:dyDescent="0.3">
      <c r="B309" s="65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5"/>
      <c r="AG309" s="65"/>
      <c r="AH309" s="65"/>
      <c r="AI309" s="65"/>
      <c r="AJ309" s="65"/>
    </row>
    <row r="310" spans="2:36" ht="14.25" customHeight="1" x14ac:dyDescent="0.3">
      <c r="B310" s="65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5"/>
      <c r="AG310" s="65"/>
      <c r="AH310" s="65"/>
      <c r="AI310" s="65"/>
      <c r="AJ310" s="65"/>
    </row>
    <row r="311" spans="2:36" ht="14.25" customHeight="1" x14ac:dyDescent="0.3">
      <c r="B311" s="65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5"/>
      <c r="AG311" s="65"/>
      <c r="AH311" s="65"/>
      <c r="AI311" s="65"/>
      <c r="AJ311" s="65"/>
    </row>
    <row r="312" spans="2:36" ht="14.25" customHeight="1" x14ac:dyDescent="0.3">
      <c r="B312" s="65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5"/>
      <c r="AG312" s="65"/>
      <c r="AH312" s="65"/>
      <c r="AI312" s="65"/>
      <c r="AJ312" s="65"/>
    </row>
    <row r="313" spans="2:36" ht="14.25" customHeight="1" x14ac:dyDescent="0.3">
      <c r="B313" s="65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5"/>
      <c r="AG313" s="65"/>
      <c r="AH313" s="65"/>
      <c r="AI313" s="65"/>
      <c r="AJ313" s="65"/>
    </row>
    <row r="314" spans="2:36" ht="14.25" customHeight="1" x14ac:dyDescent="0.3">
      <c r="B314" s="65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5"/>
      <c r="AG314" s="65"/>
      <c r="AH314" s="65"/>
      <c r="AI314" s="65"/>
      <c r="AJ314" s="65"/>
    </row>
    <row r="315" spans="2:36" ht="14.25" customHeight="1" x14ac:dyDescent="0.3">
      <c r="B315" s="65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5"/>
      <c r="AG315" s="65"/>
      <c r="AH315" s="65"/>
      <c r="AI315" s="65"/>
      <c r="AJ315" s="65"/>
    </row>
    <row r="316" spans="2:36" ht="14.25" customHeight="1" x14ac:dyDescent="0.3">
      <c r="B316" s="65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5"/>
      <c r="AG316" s="65"/>
      <c r="AH316" s="65"/>
      <c r="AI316" s="65"/>
      <c r="AJ316" s="65"/>
    </row>
    <row r="317" spans="2:36" ht="14.25" customHeight="1" x14ac:dyDescent="0.3">
      <c r="B317" s="65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5"/>
      <c r="AG317" s="65"/>
      <c r="AH317" s="65"/>
      <c r="AI317" s="65"/>
      <c r="AJ317" s="65"/>
    </row>
    <row r="318" spans="2:36" ht="14.25" customHeight="1" x14ac:dyDescent="0.3">
      <c r="B318" s="65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5"/>
      <c r="AG318" s="65"/>
      <c r="AH318" s="65"/>
      <c r="AI318" s="65"/>
      <c r="AJ318" s="65"/>
    </row>
    <row r="319" spans="2:36" ht="14.25" customHeight="1" x14ac:dyDescent="0.3">
      <c r="B319" s="65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5"/>
      <c r="AG319" s="65"/>
      <c r="AH319" s="65"/>
      <c r="AI319" s="65"/>
      <c r="AJ319" s="65"/>
    </row>
    <row r="320" spans="2:36" ht="14.25" customHeight="1" x14ac:dyDescent="0.3">
      <c r="B320" s="65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5"/>
      <c r="AG320" s="65"/>
      <c r="AH320" s="65"/>
      <c r="AI320" s="65"/>
      <c r="AJ320" s="65"/>
    </row>
    <row r="321" spans="2:36" ht="14.25" customHeight="1" x14ac:dyDescent="0.3">
      <c r="B321" s="65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5"/>
      <c r="AG321" s="65"/>
      <c r="AH321" s="65"/>
      <c r="AI321" s="65"/>
      <c r="AJ321" s="65"/>
    </row>
    <row r="322" spans="2:36" ht="14.25" customHeight="1" x14ac:dyDescent="0.3">
      <c r="B322" s="65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5"/>
      <c r="AG322" s="65"/>
      <c r="AH322" s="65"/>
      <c r="AI322" s="65"/>
      <c r="AJ322" s="65"/>
    </row>
    <row r="323" spans="2:36" ht="14.25" customHeight="1" x14ac:dyDescent="0.3">
      <c r="B323" s="65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5"/>
      <c r="AG323" s="65"/>
      <c r="AH323" s="65"/>
      <c r="AI323" s="65"/>
      <c r="AJ323" s="65"/>
    </row>
    <row r="324" spans="2:36" ht="14.25" customHeight="1" x14ac:dyDescent="0.3">
      <c r="B324" s="65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5"/>
      <c r="AG324" s="65"/>
      <c r="AH324" s="65"/>
      <c r="AI324" s="65"/>
      <c r="AJ324" s="65"/>
    </row>
    <row r="325" spans="2:36" ht="14.25" customHeight="1" x14ac:dyDescent="0.3">
      <c r="B325" s="65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5"/>
      <c r="AG325" s="65"/>
      <c r="AH325" s="65"/>
      <c r="AI325" s="65"/>
      <c r="AJ325" s="65"/>
    </row>
    <row r="326" spans="2:36" ht="14.25" customHeight="1" x14ac:dyDescent="0.3">
      <c r="B326" s="65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5"/>
      <c r="AG326" s="65"/>
      <c r="AH326" s="65"/>
      <c r="AI326" s="65"/>
      <c r="AJ326" s="65"/>
    </row>
    <row r="327" spans="2:36" ht="14.25" customHeight="1" x14ac:dyDescent="0.3">
      <c r="B327" s="65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5"/>
      <c r="AG327" s="65"/>
      <c r="AH327" s="65"/>
      <c r="AI327" s="65"/>
      <c r="AJ327" s="65"/>
    </row>
    <row r="328" spans="2:36" ht="14.25" customHeight="1" x14ac:dyDescent="0.3">
      <c r="B328" s="65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5"/>
      <c r="AG328" s="65"/>
      <c r="AH328" s="65"/>
      <c r="AI328" s="65"/>
      <c r="AJ328" s="65"/>
    </row>
    <row r="329" spans="2:36" ht="14.25" customHeight="1" x14ac:dyDescent="0.3">
      <c r="B329" s="65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5"/>
      <c r="AG329" s="65"/>
      <c r="AH329" s="65"/>
      <c r="AI329" s="65"/>
      <c r="AJ329" s="65"/>
    </row>
    <row r="330" spans="2:36" ht="14.25" customHeight="1" x14ac:dyDescent="0.3">
      <c r="B330" s="65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5"/>
      <c r="AG330" s="65"/>
      <c r="AH330" s="65"/>
      <c r="AI330" s="65"/>
      <c r="AJ330" s="65"/>
    </row>
    <row r="331" spans="2:36" ht="14.25" customHeight="1" x14ac:dyDescent="0.3">
      <c r="B331" s="65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5"/>
      <c r="AG331" s="65"/>
      <c r="AH331" s="65"/>
      <c r="AI331" s="65"/>
      <c r="AJ331" s="65"/>
    </row>
    <row r="332" spans="2:36" ht="14.25" customHeight="1" x14ac:dyDescent="0.3">
      <c r="B332" s="65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5"/>
      <c r="AG332" s="65"/>
      <c r="AH332" s="65"/>
      <c r="AI332" s="65"/>
      <c r="AJ332" s="65"/>
    </row>
    <row r="333" spans="2:36" ht="14.25" customHeight="1" x14ac:dyDescent="0.3">
      <c r="B333" s="65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5"/>
      <c r="AG333" s="65"/>
      <c r="AH333" s="65"/>
      <c r="AI333" s="65"/>
      <c r="AJ333" s="65"/>
    </row>
    <row r="334" spans="2:36" ht="14.25" customHeight="1" x14ac:dyDescent="0.3">
      <c r="B334" s="65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5"/>
      <c r="AG334" s="65"/>
      <c r="AH334" s="65"/>
      <c r="AI334" s="65"/>
      <c r="AJ334" s="65"/>
    </row>
    <row r="335" spans="2:36" ht="14.25" customHeight="1" x14ac:dyDescent="0.3">
      <c r="B335" s="65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5"/>
      <c r="AG335" s="65"/>
      <c r="AH335" s="65"/>
      <c r="AI335" s="65"/>
      <c r="AJ335" s="65"/>
    </row>
    <row r="336" spans="2:36" ht="14.25" customHeight="1" x14ac:dyDescent="0.3">
      <c r="B336" s="65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5"/>
      <c r="AG336" s="65"/>
      <c r="AH336" s="65"/>
      <c r="AI336" s="65"/>
      <c r="AJ336" s="65"/>
    </row>
    <row r="337" spans="2:36" ht="14.25" customHeight="1" x14ac:dyDescent="0.3">
      <c r="B337" s="65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5"/>
      <c r="AG337" s="65"/>
      <c r="AH337" s="65"/>
      <c r="AI337" s="65"/>
      <c r="AJ337" s="65"/>
    </row>
    <row r="338" spans="2:36" ht="14.25" customHeight="1" x14ac:dyDescent="0.3">
      <c r="B338" s="65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5"/>
      <c r="AG338" s="65"/>
      <c r="AH338" s="65"/>
      <c r="AI338" s="65"/>
      <c r="AJ338" s="65"/>
    </row>
    <row r="339" spans="2:36" ht="14.25" customHeight="1" x14ac:dyDescent="0.3">
      <c r="B339" s="65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5"/>
      <c r="AG339" s="65"/>
      <c r="AH339" s="65"/>
      <c r="AI339" s="65"/>
      <c r="AJ339" s="65"/>
    </row>
    <row r="340" spans="2:36" ht="14.25" customHeight="1" x14ac:dyDescent="0.3">
      <c r="B340" s="65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5"/>
      <c r="AG340" s="65"/>
      <c r="AH340" s="65"/>
      <c r="AI340" s="65"/>
      <c r="AJ340" s="65"/>
    </row>
    <row r="341" spans="2:36" ht="14.25" customHeight="1" x14ac:dyDescent="0.3">
      <c r="B341" s="65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5"/>
      <c r="AG341" s="65"/>
      <c r="AH341" s="65"/>
      <c r="AI341" s="65"/>
      <c r="AJ341" s="65"/>
    </row>
    <row r="342" spans="2:36" ht="14.25" customHeight="1" x14ac:dyDescent="0.3">
      <c r="B342" s="65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5"/>
      <c r="AG342" s="65"/>
      <c r="AH342" s="65"/>
      <c r="AI342" s="65"/>
      <c r="AJ342" s="65"/>
    </row>
    <row r="343" spans="2:36" ht="14.25" customHeight="1" x14ac:dyDescent="0.3">
      <c r="B343" s="65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5"/>
      <c r="AG343" s="65"/>
      <c r="AH343" s="65"/>
      <c r="AI343" s="65"/>
      <c r="AJ343" s="65"/>
    </row>
    <row r="344" spans="2:36" ht="14.25" customHeight="1" x14ac:dyDescent="0.3">
      <c r="B344" s="65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5"/>
      <c r="AG344" s="65"/>
      <c r="AH344" s="65"/>
      <c r="AI344" s="65"/>
      <c r="AJ344" s="65"/>
    </row>
    <row r="345" spans="2:36" ht="14.25" customHeight="1" x14ac:dyDescent="0.3">
      <c r="B345" s="65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5"/>
      <c r="AG345" s="65"/>
      <c r="AH345" s="65"/>
      <c r="AI345" s="65"/>
      <c r="AJ345" s="65"/>
    </row>
    <row r="346" spans="2:36" ht="14.25" customHeight="1" x14ac:dyDescent="0.3">
      <c r="B346" s="65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5"/>
      <c r="AG346" s="65"/>
      <c r="AH346" s="65"/>
      <c r="AI346" s="65"/>
      <c r="AJ346" s="65"/>
    </row>
    <row r="347" spans="2:36" ht="14.25" customHeight="1" x14ac:dyDescent="0.3">
      <c r="B347" s="65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5"/>
      <c r="AG347" s="65"/>
      <c r="AH347" s="65"/>
      <c r="AI347" s="65"/>
      <c r="AJ347" s="65"/>
    </row>
    <row r="348" spans="2:36" ht="14.25" customHeight="1" x14ac:dyDescent="0.3">
      <c r="B348" s="65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5"/>
      <c r="AG348" s="65"/>
      <c r="AH348" s="65"/>
      <c r="AI348" s="65"/>
      <c r="AJ348" s="65"/>
    </row>
    <row r="349" spans="2:36" ht="14.25" customHeight="1" x14ac:dyDescent="0.3">
      <c r="B349" s="65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5"/>
      <c r="AG349" s="65"/>
      <c r="AH349" s="65"/>
      <c r="AI349" s="65"/>
      <c r="AJ349" s="65"/>
    </row>
    <row r="350" spans="2:36" ht="14.25" customHeight="1" x14ac:dyDescent="0.3">
      <c r="B350" s="65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5"/>
      <c r="AG350" s="65"/>
      <c r="AH350" s="65"/>
      <c r="AI350" s="65"/>
      <c r="AJ350" s="65"/>
    </row>
    <row r="351" spans="2:36" ht="14.25" customHeight="1" x14ac:dyDescent="0.3">
      <c r="B351" s="65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5"/>
      <c r="AG351" s="65"/>
      <c r="AH351" s="65"/>
      <c r="AI351" s="65"/>
      <c r="AJ351" s="65"/>
    </row>
    <row r="352" spans="2:36" ht="14.25" customHeight="1" x14ac:dyDescent="0.3">
      <c r="B352" s="65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5"/>
      <c r="AG352" s="65"/>
      <c r="AH352" s="65"/>
      <c r="AI352" s="65"/>
      <c r="AJ352" s="65"/>
    </row>
    <row r="353" spans="2:36" ht="14.25" customHeight="1" x14ac:dyDescent="0.3">
      <c r="B353" s="65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5"/>
      <c r="AG353" s="65"/>
      <c r="AH353" s="65"/>
      <c r="AI353" s="65"/>
      <c r="AJ353" s="65"/>
    </row>
    <row r="354" spans="2:36" ht="14.25" customHeight="1" x14ac:dyDescent="0.3">
      <c r="B354" s="65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5"/>
      <c r="AG354" s="65"/>
      <c r="AH354" s="65"/>
      <c r="AI354" s="65"/>
      <c r="AJ354" s="65"/>
    </row>
    <row r="355" spans="2:36" ht="14.25" customHeight="1" x14ac:dyDescent="0.3">
      <c r="B355" s="65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5"/>
      <c r="AG355" s="65"/>
      <c r="AH355" s="65"/>
      <c r="AI355" s="65"/>
      <c r="AJ355" s="65"/>
    </row>
    <row r="356" spans="2:36" ht="14.25" customHeight="1" x14ac:dyDescent="0.3">
      <c r="B356" s="65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5"/>
      <c r="AG356" s="65"/>
      <c r="AH356" s="65"/>
      <c r="AI356" s="65"/>
      <c r="AJ356" s="65"/>
    </row>
    <row r="357" spans="2:36" ht="14.25" customHeight="1" x14ac:dyDescent="0.3">
      <c r="B357" s="65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5"/>
      <c r="AG357" s="65"/>
      <c r="AH357" s="65"/>
      <c r="AI357" s="65"/>
      <c r="AJ357" s="65"/>
    </row>
    <row r="358" spans="2:36" ht="14.25" customHeight="1" x14ac:dyDescent="0.3">
      <c r="B358" s="65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5"/>
      <c r="AG358" s="65"/>
      <c r="AH358" s="65"/>
      <c r="AI358" s="65"/>
      <c r="AJ358" s="65"/>
    </row>
    <row r="359" spans="2:36" ht="14.25" customHeight="1" x14ac:dyDescent="0.3">
      <c r="B359" s="65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5"/>
      <c r="AG359" s="65"/>
      <c r="AH359" s="65"/>
      <c r="AI359" s="65"/>
      <c r="AJ359" s="65"/>
    </row>
    <row r="360" spans="2:36" ht="14.25" customHeight="1" x14ac:dyDescent="0.3">
      <c r="B360" s="65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5"/>
      <c r="AG360" s="65"/>
      <c r="AH360" s="65"/>
      <c r="AI360" s="65"/>
      <c r="AJ360" s="65"/>
    </row>
    <row r="361" spans="2:36" ht="14.25" customHeight="1" x14ac:dyDescent="0.3">
      <c r="B361" s="65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5"/>
      <c r="AG361" s="65"/>
      <c r="AH361" s="65"/>
      <c r="AI361" s="65"/>
      <c r="AJ361" s="65"/>
    </row>
    <row r="362" spans="2:36" ht="14.25" customHeight="1" x14ac:dyDescent="0.3">
      <c r="B362" s="65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5"/>
      <c r="AG362" s="65"/>
      <c r="AH362" s="65"/>
      <c r="AI362" s="65"/>
      <c r="AJ362" s="65"/>
    </row>
    <row r="363" spans="2:36" ht="14.25" customHeight="1" x14ac:dyDescent="0.3">
      <c r="B363" s="65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5"/>
      <c r="AG363" s="65"/>
      <c r="AH363" s="65"/>
      <c r="AI363" s="65"/>
      <c r="AJ363" s="65"/>
    </row>
    <row r="364" spans="2:36" ht="14.25" customHeight="1" x14ac:dyDescent="0.3">
      <c r="B364" s="65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5"/>
      <c r="AG364" s="65"/>
      <c r="AH364" s="65"/>
      <c r="AI364" s="65"/>
      <c r="AJ364" s="65"/>
    </row>
    <row r="365" spans="2:36" ht="14.25" customHeight="1" x14ac:dyDescent="0.3">
      <c r="B365" s="65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5"/>
      <c r="AG365" s="65"/>
      <c r="AH365" s="65"/>
      <c r="AI365" s="65"/>
      <c r="AJ365" s="65"/>
    </row>
    <row r="366" spans="2:36" ht="14.25" customHeight="1" x14ac:dyDescent="0.3">
      <c r="B366" s="65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5"/>
      <c r="AG366" s="65"/>
      <c r="AH366" s="65"/>
      <c r="AI366" s="65"/>
      <c r="AJ366" s="65"/>
    </row>
    <row r="367" spans="2:36" ht="14.25" customHeight="1" x14ac:dyDescent="0.3">
      <c r="B367" s="65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5"/>
      <c r="AG367" s="65"/>
      <c r="AH367" s="65"/>
      <c r="AI367" s="65"/>
      <c r="AJ367" s="65"/>
    </row>
    <row r="368" spans="2:36" ht="14.25" customHeight="1" x14ac:dyDescent="0.3">
      <c r="B368" s="65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5"/>
      <c r="AG368" s="65"/>
      <c r="AH368" s="65"/>
      <c r="AI368" s="65"/>
      <c r="AJ368" s="65"/>
    </row>
    <row r="369" spans="2:36" ht="14.25" customHeight="1" x14ac:dyDescent="0.3">
      <c r="B369" s="65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5"/>
      <c r="AG369" s="65"/>
      <c r="AH369" s="65"/>
      <c r="AI369" s="65"/>
      <c r="AJ369" s="65"/>
    </row>
    <row r="370" spans="2:36" ht="14.25" customHeight="1" x14ac:dyDescent="0.3">
      <c r="B370" s="65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5"/>
      <c r="AG370" s="65"/>
      <c r="AH370" s="65"/>
      <c r="AI370" s="65"/>
      <c r="AJ370" s="65"/>
    </row>
    <row r="371" spans="2:36" ht="14.25" customHeight="1" x14ac:dyDescent="0.3">
      <c r="B371" s="65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5"/>
      <c r="AG371" s="65"/>
      <c r="AH371" s="65"/>
      <c r="AI371" s="65"/>
      <c r="AJ371" s="65"/>
    </row>
    <row r="372" spans="2:36" ht="14.25" customHeight="1" x14ac:dyDescent="0.3">
      <c r="B372" s="65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5"/>
      <c r="AG372" s="65"/>
      <c r="AH372" s="65"/>
      <c r="AI372" s="65"/>
      <c r="AJ372" s="65"/>
    </row>
    <row r="373" spans="2:36" ht="14.25" customHeight="1" x14ac:dyDescent="0.3">
      <c r="B373" s="65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5"/>
      <c r="AG373" s="65"/>
      <c r="AH373" s="65"/>
      <c r="AI373" s="65"/>
      <c r="AJ373" s="65"/>
    </row>
    <row r="374" spans="2:36" ht="14.25" customHeight="1" x14ac:dyDescent="0.3">
      <c r="B374" s="65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5"/>
      <c r="AG374" s="65"/>
      <c r="AH374" s="65"/>
      <c r="AI374" s="65"/>
      <c r="AJ374" s="65"/>
    </row>
    <row r="375" spans="2:36" ht="14.25" customHeight="1" x14ac:dyDescent="0.3">
      <c r="B375" s="65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5"/>
      <c r="AG375" s="65"/>
      <c r="AH375" s="65"/>
      <c r="AI375" s="65"/>
      <c r="AJ375" s="65"/>
    </row>
    <row r="376" spans="2:36" ht="14.25" customHeight="1" x14ac:dyDescent="0.3">
      <c r="B376" s="65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5"/>
      <c r="AG376" s="65"/>
      <c r="AH376" s="65"/>
      <c r="AI376" s="65"/>
      <c r="AJ376" s="65"/>
    </row>
    <row r="377" spans="2:36" ht="14.25" customHeight="1" x14ac:dyDescent="0.3">
      <c r="B377" s="65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5"/>
      <c r="AG377" s="65"/>
      <c r="AH377" s="65"/>
      <c r="AI377" s="65"/>
      <c r="AJ377" s="65"/>
    </row>
    <row r="378" spans="2:36" ht="14.25" customHeight="1" x14ac:dyDescent="0.3">
      <c r="B378" s="65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5"/>
      <c r="AG378" s="65"/>
      <c r="AH378" s="65"/>
      <c r="AI378" s="65"/>
      <c r="AJ378" s="65"/>
    </row>
    <row r="379" spans="2:36" ht="14.25" customHeight="1" x14ac:dyDescent="0.3">
      <c r="B379" s="65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5"/>
      <c r="AG379" s="65"/>
      <c r="AH379" s="65"/>
      <c r="AI379" s="65"/>
      <c r="AJ379" s="65"/>
    </row>
    <row r="380" spans="2:36" ht="14.25" customHeight="1" x14ac:dyDescent="0.3">
      <c r="B380" s="65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5"/>
      <c r="AG380" s="65"/>
      <c r="AH380" s="65"/>
      <c r="AI380" s="65"/>
      <c r="AJ380" s="65"/>
    </row>
    <row r="381" spans="2:36" ht="14.25" customHeight="1" x14ac:dyDescent="0.3">
      <c r="B381" s="65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5"/>
      <c r="AG381" s="65"/>
      <c r="AH381" s="65"/>
      <c r="AI381" s="65"/>
      <c r="AJ381" s="65"/>
    </row>
    <row r="382" spans="2:36" ht="14.25" customHeight="1" x14ac:dyDescent="0.3">
      <c r="B382" s="65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5"/>
      <c r="AG382" s="65"/>
      <c r="AH382" s="65"/>
      <c r="AI382" s="65"/>
      <c r="AJ382" s="65"/>
    </row>
    <row r="383" spans="2:36" ht="14.25" customHeight="1" x14ac:dyDescent="0.3">
      <c r="B383" s="65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5"/>
      <c r="AG383" s="65"/>
      <c r="AH383" s="65"/>
      <c r="AI383" s="65"/>
      <c r="AJ383" s="65"/>
    </row>
    <row r="384" spans="2:36" ht="14.25" customHeight="1" x14ac:dyDescent="0.3">
      <c r="B384" s="65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5"/>
      <c r="AG384" s="65"/>
      <c r="AH384" s="65"/>
      <c r="AI384" s="65"/>
      <c r="AJ384" s="65"/>
    </row>
    <row r="385" spans="2:36" ht="14.25" customHeight="1" x14ac:dyDescent="0.3">
      <c r="B385" s="65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5"/>
      <c r="AG385" s="65"/>
      <c r="AH385" s="65"/>
      <c r="AI385" s="65"/>
      <c r="AJ385" s="65"/>
    </row>
    <row r="386" spans="2:36" ht="14.25" customHeight="1" x14ac:dyDescent="0.3">
      <c r="B386" s="65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5"/>
      <c r="AG386" s="65"/>
      <c r="AH386" s="65"/>
      <c r="AI386" s="65"/>
      <c r="AJ386" s="65"/>
    </row>
    <row r="387" spans="2:36" ht="14.25" customHeight="1" x14ac:dyDescent="0.3">
      <c r="B387" s="65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5"/>
      <c r="AG387" s="65"/>
      <c r="AH387" s="65"/>
      <c r="AI387" s="65"/>
      <c r="AJ387" s="65"/>
    </row>
    <row r="388" spans="2:36" ht="14.25" customHeight="1" x14ac:dyDescent="0.3">
      <c r="B388" s="65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5"/>
      <c r="AG388" s="65"/>
      <c r="AH388" s="65"/>
      <c r="AI388" s="65"/>
      <c r="AJ388" s="65"/>
    </row>
    <row r="389" spans="2:36" ht="14.25" customHeight="1" x14ac:dyDescent="0.3">
      <c r="B389" s="65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5"/>
      <c r="AG389" s="65"/>
      <c r="AH389" s="65"/>
      <c r="AI389" s="65"/>
      <c r="AJ389" s="65"/>
    </row>
    <row r="390" spans="2:36" ht="14.25" customHeight="1" x14ac:dyDescent="0.3">
      <c r="B390" s="65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5"/>
      <c r="AG390" s="65"/>
      <c r="AH390" s="65"/>
      <c r="AI390" s="65"/>
      <c r="AJ390" s="65"/>
    </row>
    <row r="391" spans="2:36" ht="14.25" customHeight="1" x14ac:dyDescent="0.3">
      <c r="B391" s="65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5"/>
      <c r="AG391" s="65"/>
      <c r="AH391" s="65"/>
      <c r="AI391" s="65"/>
      <c r="AJ391" s="65"/>
    </row>
    <row r="392" spans="2:36" ht="14.25" customHeight="1" x14ac:dyDescent="0.3">
      <c r="B392" s="65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5"/>
      <c r="AG392" s="65"/>
      <c r="AH392" s="65"/>
      <c r="AI392" s="65"/>
      <c r="AJ392" s="65"/>
    </row>
    <row r="393" spans="2:36" ht="14.25" customHeight="1" x14ac:dyDescent="0.3">
      <c r="B393" s="65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5"/>
      <c r="AG393" s="65"/>
      <c r="AH393" s="65"/>
      <c r="AI393" s="65"/>
      <c r="AJ393" s="65"/>
    </row>
    <row r="394" spans="2:36" ht="14.25" customHeight="1" x14ac:dyDescent="0.3">
      <c r="B394" s="65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5"/>
      <c r="AG394" s="65"/>
      <c r="AH394" s="65"/>
      <c r="AI394" s="65"/>
      <c r="AJ394" s="65"/>
    </row>
    <row r="395" spans="2:36" ht="14.25" customHeight="1" x14ac:dyDescent="0.3">
      <c r="B395" s="65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5"/>
      <c r="AG395" s="65"/>
      <c r="AH395" s="65"/>
      <c r="AI395" s="65"/>
      <c r="AJ395" s="65"/>
    </row>
    <row r="396" spans="2:36" ht="14.25" customHeight="1" x14ac:dyDescent="0.3">
      <c r="B396" s="65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5"/>
      <c r="AG396" s="65"/>
      <c r="AH396" s="65"/>
      <c r="AI396" s="65"/>
      <c r="AJ396" s="65"/>
    </row>
    <row r="397" spans="2:36" ht="14.25" customHeight="1" x14ac:dyDescent="0.3">
      <c r="B397" s="65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5"/>
      <c r="AG397" s="65"/>
      <c r="AH397" s="65"/>
      <c r="AI397" s="65"/>
      <c r="AJ397" s="65"/>
    </row>
    <row r="398" spans="2:36" ht="14.25" customHeight="1" x14ac:dyDescent="0.3">
      <c r="B398" s="65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5"/>
      <c r="AG398" s="65"/>
      <c r="AH398" s="65"/>
      <c r="AI398" s="65"/>
      <c r="AJ398" s="65"/>
    </row>
    <row r="399" spans="2:36" ht="14.25" customHeight="1" x14ac:dyDescent="0.3">
      <c r="B399" s="65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5"/>
      <c r="AG399" s="65"/>
      <c r="AH399" s="65"/>
      <c r="AI399" s="65"/>
      <c r="AJ399" s="65"/>
    </row>
    <row r="400" spans="2:36" ht="14.25" customHeight="1" x14ac:dyDescent="0.3">
      <c r="B400" s="65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5"/>
      <c r="AG400" s="65"/>
      <c r="AH400" s="65"/>
      <c r="AI400" s="65"/>
      <c r="AJ400" s="65"/>
    </row>
    <row r="401" spans="2:36" ht="14.25" customHeight="1" x14ac:dyDescent="0.3">
      <c r="B401" s="65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5"/>
      <c r="AG401" s="65"/>
      <c r="AH401" s="65"/>
      <c r="AI401" s="65"/>
      <c r="AJ401" s="65"/>
    </row>
    <row r="402" spans="2:36" ht="14.25" customHeight="1" x14ac:dyDescent="0.3">
      <c r="B402" s="65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5"/>
      <c r="AG402" s="65"/>
      <c r="AH402" s="65"/>
      <c r="AI402" s="65"/>
      <c r="AJ402" s="65"/>
    </row>
    <row r="403" spans="2:36" ht="14.25" customHeight="1" x14ac:dyDescent="0.3">
      <c r="B403" s="65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5"/>
      <c r="AG403" s="65"/>
      <c r="AH403" s="65"/>
      <c r="AI403" s="65"/>
      <c r="AJ403" s="65"/>
    </row>
    <row r="404" spans="2:36" ht="14.25" customHeight="1" x14ac:dyDescent="0.3">
      <c r="B404" s="65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5"/>
      <c r="AG404" s="65"/>
      <c r="AH404" s="65"/>
      <c r="AI404" s="65"/>
      <c r="AJ404" s="65"/>
    </row>
    <row r="405" spans="2:36" ht="14.25" customHeight="1" x14ac:dyDescent="0.3">
      <c r="B405" s="65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5"/>
      <c r="AG405" s="65"/>
      <c r="AH405" s="65"/>
      <c r="AI405" s="65"/>
      <c r="AJ405" s="65"/>
    </row>
    <row r="406" spans="2:36" ht="14.25" customHeight="1" x14ac:dyDescent="0.3">
      <c r="B406" s="65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5"/>
      <c r="AG406" s="65"/>
      <c r="AH406" s="65"/>
      <c r="AI406" s="65"/>
      <c r="AJ406" s="65"/>
    </row>
    <row r="407" spans="2:36" ht="14.25" customHeight="1" x14ac:dyDescent="0.3">
      <c r="B407" s="65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5"/>
      <c r="AG407" s="65"/>
      <c r="AH407" s="65"/>
      <c r="AI407" s="65"/>
      <c r="AJ407" s="65"/>
    </row>
    <row r="408" spans="2:36" ht="14.25" customHeight="1" x14ac:dyDescent="0.3">
      <c r="B408" s="65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5"/>
      <c r="AG408" s="65"/>
      <c r="AH408" s="65"/>
      <c r="AI408" s="65"/>
      <c r="AJ408" s="65"/>
    </row>
    <row r="409" spans="2:36" ht="14.25" customHeight="1" x14ac:dyDescent="0.3">
      <c r="B409" s="65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5"/>
      <c r="AG409" s="65"/>
      <c r="AH409" s="65"/>
      <c r="AI409" s="65"/>
      <c r="AJ409" s="65"/>
    </row>
    <row r="410" spans="2:36" ht="14.25" customHeight="1" x14ac:dyDescent="0.3">
      <c r="B410" s="65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5"/>
      <c r="AG410" s="65"/>
      <c r="AH410" s="65"/>
      <c r="AI410" s="65"/>
      <c r="AJ410" s="65"/>
    </row>
    <row r="411" spans="2:36" ht="14.25" customHeight="1" x14ac:dyDescent="0.3">
      <c r="B411" s="65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5"/>
      <c r="AG411" s="65"/>
      <c r="AH411" s="65"/>
      <c r="AI411" s="65"/>
      <c r="AJ411" s="65"/>
    </row>
    <row r="412" spans="2:36" ht="14.25" customHeight="1" x14ac:dyDescent="0.3">
      <c r="B412" s="65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5"/>
      <c r="AG412" s="65"/>
      <c r="AH412" s="65"/>
      <c r="AI412" s="65"/>
      <c r="AJ412" s="65"/>
    </row>
    <row r="413" spans="2:36" ht="14.25" customHeight="1" x14ac:dyDescent="0.3">
      <c r="B413" s="65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5"/>
      <c r="AG413" s="65"/>
      <c r="AH413" s="65"/>
      <c r="AI413" s="65"/>
      <c r="AJ413" s="65"/>
    </row>
    <row r="414" spans="2:36" ht="14.25" customHeight="1" x14ac:dyDescent="0.3">
      <c r="B414" s="65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5"/>
      <c r="AG414" s="65"/>
      <c r="AH414" s="65"/>
      <c r="AI414" s="65"/>
      <c r="AJ414" s="65"/>
    </row>
    <row r="415" spans="2:36" ht="14.25" customHeight="1" x14ac:dyDescent="0.3">
      <c r="B415" s="65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5"/>
      <c r="AG415" s="65"/>
      <c r="AH415" s="65"/>
      <c r="AI415" s="65"/>
      <c r="AJ415" s="65"/>
    </row>
    <row r="416" spans="2:36" ht="14.25" customHeight="1" x14ac:dyDescent="0.3">
      <c r="B416" s="65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5"/>
      <c r="AG416" s="65"/>
      <c r="AH416" s="65"/>
      <c r="AI416" s="65"/>
      <c r="AJ416" s="65"/>
    </row>
    <row r="417" spans="2:36" ht="14.25" customHeight="1" x14ac:dyDescent="0.3">
      <c r="B417" s="65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5"/>
      <c r="AG417" s="65"/>
      <c r="AH417" s="65"/>
      <c r="AI417" s="65"/>
      <c r="AJ417" s="65"/>
    </row>
    <row r="418" spans="2:36" ht="14.25" customHeight="1" x14ac:dyDescent="0.3">
      <c r="B418" s="65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5"/>
      <c r="AG418" s="65"/>
      <c r="AH418" s="65"/>
      <c r="AI418" s="65"/>
      <c r="AJ418" s="65"/>
    </row>
    <row r="419" spans="2:36" ht="14.25" customHeight="1" x14ac:dyDescent="0.3">
      <c r="B419" s="65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5"/>
      <c r="AG419" s="65"/>
      <c r="AH419" s="65"/>
      <c r="AI419" s="65"/>
      <c r="AJ419" s="65"/>
    </row>
    <row r="420" spans="2:36" ht="14.25" customHeight="1" x14ac:dyDescent="0.3">
      <c r="B420" s="65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5"/>
      <c r="AG420" s="65"/>
      <c r="AH420" s="65"/>
      <c r="AI420" s="65"/>
      <c r="AJ420" s="65"/>
    </row>
    <row r="421" spans="2:36" ht="14.25" customHeight="1" x14ac:dyDescent="0.3">
      <c r="B421" s="65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5"/>
      <c r="AG421" s="65"/>
      <c r="AH421" s="65"/>
      <c r="AI421" s="65"/>
      <c r="AJ421" s="65"/>
    </row>
    <row r="422" spans="2:36" ht="14.25" customHeight="1" x14ac:dyDescent="0.3">
      <c r="B422" s="65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5"/>
      <c r="AG422" s="65"/>
      <c r="AH422" s="65"/>
      <c r="AI422" s="65"/>
      <c r="AJ422" s="65"/>
    </row>
    <row r="423" spans="2:36" ht="14.25" customHeight="1" x14ac:dyDescent="0.3">
      <c r="B423" s="65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5"/>
      <c r="AG423" s="65"/>
      <c r="AH423" s="65"/>
      <c r="AI423" s="65"/>
      <c r="AJ423" s="65"/>
    </row>
    <row r="424" spans="2:36" ht="14.25" customHeight="1" x14ac:dyDescent="0.3">
      <c r="B424" s="65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5"/>
      <c r="AG424" s="65"/>
      <c r="AH424" s="65"/>
      <c r="AI424" s="65"/>
      <c r="AJ424" s="65"/>
    </row>
    <row r="425" spans="2:36" ht="14.25" customHeight="1" x14ac:dyDescent="0.3">
      <c r="B425" s="65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5"/>
      <c r="AG425" s="65"/>
      <c r="AH425" s="65"/>
      <c r="AI425" s="65"/>
      <c r="AJ425" s="65"/>
    </row>
    <row r="426" spans="2:36" ht="14.25" customHeight="1" x14ac:dyDescent="0.3">
      <c r="B426" s="65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5"/>
      <c r="AG426" s="65"/>
      <c r="AH426" s="65"/>
      <c r="AI426" s="65"/>
      <c r="AJ426" s="65"/>
    </row>
    <row r="427" spans="2:36" ht="14.25" customHeight="1" x14ac:dyDescent="0.3">
      <c r="B427" s="65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5"/>
      <c r="AG427" s="65"/>
      <c r="AH427" s="65"/>
      <c r="AI427" s="65"/>
      <c r="AJ427" s="65"/>
    </row>
    <row r="428" spans="2:36" ht="14.25" customHeight="1" x14ac:dyDescent="0.3">
      <c r="B428" s="65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5"/>
      <c r="AG428" s="65"/>
      <c r="AH428" s="65"/>
      <c r="AI428" s="65"/>
      <c r="AJ428" s="65"/>
    </row>
    <row r="429" spans="2:36" ht="14.25" customHeight="1" x14ac:dyDescent="0.3">
      <c r="B429" s="65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5"/>
      <c r="AG429" s="65"/>
      <c r="AH429" s="65"/>
      <c r="AI429" s="65"/>
      <c r="AJ429" s="65"/>
    </row>
    <row r="430" spans="2:36" ht="14.25" customHeight="1" x14ac:dyDescent="0.3">
      <c r="B430" s="65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5"/>
      <c r="AG430" s="65"/>
      <c r="AH430" s="65"/>
      <c r="AI430" s="65"/>
      <c r="AJ430" s="65"/>
    </row>
    <row r="431" spans="2:36" ht="14.25" customHeight="1" x14ac:dyDescent="0.3">
      <c r="B431" s="65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5"/>
      <c r="AG431" s="65"/>
      <c r="AH431" s="65"/>
      <c r="AI431" s="65"/>
      <c r="AJ431" s="65"/>
    </row>
    <row r="432" spans="2:36" ht="14.25" customHeight="1" x14ac:dyDescent="0.3">
      <c r="B432" s="65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5"/>
      <c r="AG432" s="65"/>
      <c r="AH432" s="65"/>
      <c r="AI432" s="65"/>
      <c r="AJ432" s="65"/>
    </row>
    <row r="433" spans="2:36" ht="14.25" customHeight="1" x14ac:dyDescent="0.3">
      <c r="B433" s="65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5"/>
      <c r="AG433" s="65"/>
      <c r="AH433" s="65"/>
      <c r="AI433" s="65"/>
      <c r="AJ433" s="65"/>
    </row>
    <row r="434" spans="2:36" ht="14.25" customHeight="1" x14ac:dyDescent="0.3">
      <c r="B434" s="65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5"/>
      <c r="AG434" s="65"/>
      <c r="AH434" s="65"/>
      <c r="AI434" s="65"/>
      <c r="AJ434" s="65"/>
    </row>
    <row r="435" spans="2:36" ht="14.25" customHeight="1" x14ac:dyDescent="0.3">
      <c r="B435" s="65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5"/>
      <c r="AG435" s="65"/>
      <c r="AH435" s="65"/>
      <c r="AI435" s="65"/>
      <c r="AJ435" s="65"/>
    </row>
    <row r="436" spans="2:36" ht="14.25" customHeight="1" x14ac:dyDescent="0.3">
      <c r="B436" s="65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5"/>
      <c r="AG436" s="65"/>
      <c r="AH436" s="65"/>
      <c r="AI436" s="65"/>
      <c r="AJ436" s="65"/>
    </row>
    <row r="437" spans="2:36" ht="14.25" customHeight="1" x14ac:dyDescent="0.3">
      <c r="B437" s="65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5"/>
      <c r="AG437" s="65"/>
      <c r="AH437" s="65"/>
      <c r="AI437" s="65"/>
      <c r="AJ437" s="65"/>
    </row>
    <row r="438" spans="2:36" ht="14.25" customHeight="1" x14ac:dyDescent="0.3">
      <c r="B438" s="65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5"/>
      <c r="AG438" s="65"/>
      <c r="AH438" s="65"/>
      <c r="AI438" s="65"/>
      <c r="AJ438" s="65"/>
    </row>
    <row r="439" spans="2:36" ht="14.25" customHeight="1" x14ac:dyDescent="0.3">
      <c r="B439" s="65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5"/>
      <c r="AG439" s="65"/>
      <c r="AH439" s="65"/>
      <c r="AI439" s="65"/>
      <c r="AJ439" s="65"/>
    </row>
    <row r="440" spans="2:36" ht="14.25" customHeight="1" x14ac:dyDescent="0.3">
      <c r="B440" s="65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5"/>
      <c r="AG440" s="65"/>
      <c r="AH440" s="65"/>
      <c r="AI440" s="65"/>
      <c r="AJ440" s="65"/>
    </row>
    <row r="441" spans="2:36" ht="14.25" customHeight="1" x14ac:dyDescent="0.3">
      <c r="B441" s="65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5"/>
      <c r="AG441" s="65"/>
      <c r="AH441" s="65"/>
      <c r="AI441" s="65"/>
      <c r="AJ441" s="65"/>
    </row>
    <row r="442" spans="2:36" ht="14.25" customHeight="1" x14ac:dyDescent="0.3">
      <c r="B442" s="65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5"/>
      <c r="AG442" s="65"/>
      <c r="AH442" s="65"/>
      <c r="AI442" s="65"/>
      <c r="AJ442" s="65"/>
    </row>
    <row r="443" spans="2:36" ht="14.25" customHeight="1" x14ac:dyDescent="0.3">
      <c r="B443" s="65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5"/>
      <c r="AG443" s="65"/>
      <c r="AH443" s="65"/>
      <c r="AI443" s="65"/>
      <c r="AJ443" s="65"/>
    </row>
    <row r="444" spans="2:36" ht="14.25" customHeight="1" x14ac:dyDescent="0.3">
      <c r="B444" s="65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5"/>
      <c r="AG444" s="65"/>
      <c r="AH444" s="65"/>
      <c r="AI444" s="65"/>
      <c r="AJ444" s="65"/>
    </row>
    <row r="445" spans="2:36" ht="14.25" customHeight="1" x14ac:dyDescent="0.3">
      <c r="B445" s="65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5"/>
      <c r="AG445" s="65"/>
      <c r="AH445" s="65"/>
      <c r="AI445" s="65"/>
      <c r="AJ445" s="65"/>
    </row>
    <row r="446" spans="2:36" ht="14.25" customHeight="1" x14ac:dyDescent="0.3">
      <c r="B446" s="65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5"/>
      <c r="AG446" s="65"/>
      <c r="AH446" s="65"/>
      <c r="AI446" s="65"/>
      <c r="AJ446" s="65"/>
    </row>
    <row r="447" spans="2:36" ht="14.25" customHeight="1" x14ac:dyDescent="0.3">
      <c r="B447" s="65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5"/>
      <c r="AG447" s="65"/>
      <c r="AH447" s="65"/>
      <c r="AI447" s="65"/>
      <c r="AJ447" s="65"/>
    </row>
    <row r="448" spans="2:36" ht="14.25" customHeight="1" x14ac:dyDescent="0.3">
      <c r="B448" s="65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5"/>
      <c r="AG448" s="65"/>
      <c r="AH448" s="65"/>
      <c r="AI448" s="65"/>
      <c r="AJ448" s="65"/>
    </row>
    <row r="449" spans="2:36" ht="14.25" customHeight="1" x14ac:dyDescent="0.3">
      <c r="B449" s="65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5"/>
      <c r="AG449" s="65"/>
      <c r="AH449" s="65"/>
      <c r="AI449" s="65"/>
      <c r="AJ449" s="65"/>
    </row>
    <row r="450" spans="2:36" ht="14.25" customHeight="1" x14ac:dyDescent="0.3">
      <c r="B450" s="65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5"/>
      <c r="AG450" s="65"/>
      <c r="AH450" s="65"/>
      <c r="AI450" s="65"/>
      <c r="AJ450" s="65"/>
    </row>
    <row r="451" spans="2:36" ht="14.25" customHeight="1" x14ac:dyDescent="0.3">
      <c r="B451" s="65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5"/>
      <c r="AG451" s="65"/>
      <c r="AH451" s="65"/>
      <c r="AI451" s="65"/>
      <c r="AJ451" s="65"/>
    </row>
    <row r="452" spans="2:36" ht="14.25" customHeight="1" x14ac:dyDescent="0.3">
      <c r="B452" s="65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5"/>
      <c r="AG452" s="65"/>
      <c r="AH452" s="65"/>
      <c r="AI452" s="65"/>
      <c r="AJ452" s="65"/>
    </row>
    <row r="453" spans="2:36" ht="14.25" customHeight="1" x14ac:dyDescent="0.3">
      <c r="B453" s="65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5"/>
      <c r="AG453" s="65"/>
      <c r="AH453" s="65"/>
      <c r="AI453" s="65"/>
      <c r="AJ453" s="65"/>
    </row>
    <row r="454" spans="2:36" ht="14.25" customHeight="1" x14ac:dyDescent="0.3">
      <c r="B454" s="65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5"/>
      <c r="AG454" s="65"/>
      <c r="AH454" s="65"/>
      <c r="AI454" s="65"/>
      <c r="AJ454" s="65"/>
    </row>
    <row r="455" spans="2:36" ht="14.25" customHeight="1" x14ac:dyDescent="0.3">
      <c r="B455" s="65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5"/>
      <c r="AG455" s="65"/>
      <c r="AH455" s="65"/>
      <c r="AI455" s="65"/>
      <c r="AJ455" s="65"/>
    </row>
    <row r="456" spans="2:36" ht="14.25" customHeight="1" x14ac:dyDescent="0.3">
      <c r="B456" s="65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5"/>
      <c r="AG456" s="65"/>
      <c r="AH456" s="65"/>
      <c r="AI456" s="65"/>
      <c r="AJ456" s="65"/>
    </row>
    <row r="457" spans="2:36" ht="14.25" customHeight="1" x14ac:dyDescent="0.3">
      <c r="B457" s="65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5"/>
      <c r="AG457" s="65"/>
      <c r="AH457" s="65"/>
      <c r="AI457" s="65"/>
      <c r="AJ457" s="65"/>
    </row>
    <row r="458" spans="2:36" ht="14.25" customHeight="1" x14ac:dyDescent="0.3">
      <c r="B458" s="65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5"/>
      <c r="AG458" s="65"/>
      <c r="AH458" s="65"/>
      <c r="AI458" s="65"/>
      <c r="AJ458" s="65"/>
    </row>
    <row r="459" spans="2:36" ht="14.25" customHeight="1" x14ac:dyDescent="0.3">
      <c r="B459" s="65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5"/>
      <c r="AG459" s="65"/>
      <c r="AH459" s="65"/>
      <c r="AI459" s="65"/>
      <c r="AJ459" s="65"/>
    </row>
    <row r="460" spans="2:36" ht="14.25" customHeight="1" x14ac:dyDescent="0.3">
      <c r="B460" s="65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5"/>
      <c r="AG460" s="65"/>
      <c r="AH460" s="65"/>
      <c r="AI460" s="65"/>
      <c r="AJ460" s="65"/>
    </row>
    <row r="461" spans="2:36" ht="14.25" customHeight="1" x14ac:dyDescent="0.3">
      <c r="B461" s="65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5"/>
      <c r="AG461" s="65"/>
      <c r="AH461" s="65"/>
      <c r="AI461" s="65"/>
      <c r="AJ461" s="65"/>
    </row>
    <row r="462" spans="2:36" ht="14.25" customHeight="1" x14ac:dyDescent="0.3">
      <c r="B462" s="65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5"/>
      <c r="AG462" s="65"/>
      <c r="AH462" s="65"/>
      <c r="AI462" s="65"/>
      <c r="AJ462" s="65"/>
    </row>
    <row r="463" spans="2:36" ht="14.25" customHeight="1" x14ac:dyDescent="0.3">
      <c r="B463" s="65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5"/>
      <c r="AG463" s="65"/>
      <c r="AH463" s="65"/>
      <c r="AI463" s="65"/>
      <c r="AJ463" s="65"/>
    </row>
    <row r="464" spans="2:36" ht="14.25" customHeight="1" x14ac:dyDescent="0.3">
      <c r="B464" s="65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5"/>
      <c r="AG464" s="65"/>
      <c r="AH464" s="65"/>
      <c r="AI464" s="65"/>
      <c r="AJ464" s="65"/>
    </row>
    <row r="465" spans="2:36" ht="14.25" customHeight="1" x14ac:dyDescent="0.3">
      <c r="B465" s="65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5"/>
      <c r="AG465" s="65"/>
      <c r="AH465" s="65"/>
      <c r="AI465" s="65"/>
      <c r="AJ465" s="65"/>
    </row>
    <row r="466" spans="2:36" ht="14.25" customHeight="1" x14ac:dyDescent="0.3">
      <c r="B466" s="65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5"/>
      <c r="AG466" s="65"/>
      <c r="AH466" s="65"/>
      <c r="AI466" s="65"/>
      <c r="AJ466" s="65"/>
    </row>
    <row r="467" spans="2:36" ht="14.25" customHeight="1" x14ac:dyDescent="0.3">
      <c r="B467" s="65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5"/>
      <c r="AG467" s="65"/>
      <c r="AH467" s="65"/>
      <c r="AI467" s="65"/>
      <c r="AJ467" s="65"/>
    </row>
    <row r="468" spans="2:36" ht="14.25" customHeight="1" x14ac:dyDescent="0.3">
      <c r="B468" s="65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5"/>
      <c r="AG468" s="65"/>
      <c r="AH468" s="65"/>
      <c r="AI468" s="65"/>
      <c r="AJ468" s="65"/>
    </row>
    <row r="469" spans="2:36" ht="14.25" customHeight="1" x14ac:dyDescent="0.3">
      <c r="B469" s="65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5"/>
      <c r="AG469" s="65"/>
      <c r="AH469" s="65"/>
      <c r="AI469" s="65"/>
      <c r="AJ469" s="65"/>
    </row>
    <row r="470" spans="2:36" ht="14.25" customHeight="1" x14ac:dyDescent="0.3">
      <c r="B470" s="65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5"/>
      <c r="AG470" s="65"/>
      <c r="AH470" s="65"/>
      <c r="AI470" s="65"/>
      <c r="AJ470" s="65"/>
    </row>
    <row r="471" spans="2:36" ht="14.25" customHeight="1" x14ac:dyDescent="0.3">
      <c r="B471" s="65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5"/>
      <c r="AG471" s="65"/>
      <c r="AH471" s="65"/>
      <c r="AI471" s="65"/>
      <c r="AJ471" s="65"/>
    </row>
    <row r="472" spans="2:36" ht="14.25" customHeight="1" x14ac:dyDescent="0.3">
      <c r="B472" s="65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5"/>
      <c r="AG472" s="65"/>
      <c r="AH472" s="65"/>
      <c r="AI472" s="65"/>
      <c r="AJ472" s="65"/>
    </row>
    <row r="473" spans="2:36" ht="14.25" customHeight="1" x14ac:dyDescent="0.3">
      <c r="B473" s="65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5"/>
      <c r="AG473" s="65"/>
      <c r="AH473" s="65"/>
      <c r="AI473" s="65"/>
      <c r="AJ473" s="65"/>
    </row>
    <row r="474" spans="2:36" ht="14.25" customHeight="1" x14ac:dyDescent="0.3">
      <c r="B474" s="65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5"/>
      <c r="AG474" s="65"/>
      <c r="AH474" s="65"/>
      <c r="AI474" s="65"/>
      <c r="AJ474" s="65"/>
    </row>
    <row r="475" spans="2:36" ht="14.25" customHeight="1" x14ac:dyDescent="0.3">
      <c r="B475" s="65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5"/>
      <c r="AG475" s="65"/>
      <c r="AH475" s="65"/>
      <c r="AI475" s="65"/>
      <c r="AJ475" s="65"/>
    </row>
    <row r="476" spans="2:36" ht="14.25" customHeight="1" x14ac:dyDescent="0.3">
      <c r="B476" s="65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5"/>
      <c r="AG476" s="65"/>
      <c r="AH476" s="65"/>
      <c r="AI476" s="65"/>
      <c r="AJ476" s="65"/>
    </row>
    <row r="477" spans="2:36" ht="14.25" customHeight="1" x14ac:dyDescent="0.3">
      <c r="B477" s="65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5"/>
      <c r="AG477" s="65"/>
      <c r="AH477" s="65"/>
      <c r="AI477" s="65"/>
      <c r="AJ477" s="65"/>
    </row>
    <row r="478" spans="2:36" ht="14.25" customHeight="1" x14ac:dyDescent="0.3">
      <c r="B478" s="65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5"/>
      <c r="AG478" s="65"/>
      <c r="AH478" s="65"/>
      <c r="AI478" s="65"/>
      <c r="AJ478" s="65"/>
    </row>
    <row r="479" spans="2:36" ht="14.25" customHeight="1" x14ac:dyDescent="0.3">
      <c r="B479" s="65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5"/>
      <c r="AG479" s="65"/>
      <c r="AH479" s="65"/>
      <c r="AI479" s="65"/>
      <c r="AJ479" s="65"/>
    </row>
    <row r="480" spans="2:36" ht="14.25" customHeight="1" x14ac:dyDescent="0.3">
      <c r="B480" s="65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5"/>
      <c r="AG480" s="65"/>
      <c r="AH480" s="65"/>
      <c r="AI480" s="65"/>
      <c r="AJ480" s="65"/>
    </row>
    <row r="481" spans="2:36" ht="14.25" customHeight="1" x14ac:dyDescent="0.3">
      <c r="B481" s="65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5"/>
      <c r="AG481" s="65"/>
      <c r="AH481" s="65"/>
      <c r="AI481" s="65"/>
      <c r="AJ481" s="65"/>
    </row>
    <row r="482" spans="2:36" ht="14.25" customHeight="1" x14ac:dyDescent="0.3">
      <c r="B482" s="65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5"/>
      <c r="AG482" s="65"/>
      <c r="AH482" s="65"/>
      <c r="AI482" s="65"/>
      <c r="AJ482" s="65"/>
    </row>
    <row r="483" spans="2:36" ht="14.25" customHeight="1" x14ac:dyDescent="0.3">
      <c r="B483" s="65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5"/>
      <c r="AG483" s="65"/>
      <c r="AH483" s="65"/>
      <c r="AI483" s="65"/>
      <c r="AJ483" s="65"/>
    </row>
    <row r="484" spans="2:36" ht="14.25" customHeight="1" x14ac:dyDescent="0.3">
      <c r="B484" s="65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5"/>
      <c r="AG484" s="65"/>
      <c r="AH484" s="65"/>
      <c r="AI484" s="65"/>
      <c r="AJ484" s="65"/>
    </row>
    <row r="485" spans="2:36" ht="14.25" customHeight="1" x14ac:dyDescent="0.3">
      <c r="B485" s="65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5"/>
      <c r="AG485" s="65"/>
      <c r="AH485" s="65"/>
      <c r="AI485" s="65"/>
      <c r="AJ485" s="65"/>
    </row>
    <row r="486" spans="2:36" ht="14.25" customHeight="1" x14ac:dyDescent="0.3">
      <c r="B486" s="65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5"/>
      <c r="AG486" s="65"/>
      <c r="AH486" s="65"/>
      <c r="AI486" s="65"/>
      <c r="AJ486" s="65"/>
    </row>
    <row r="487" spans="2:36" ht="14.25" customHeight="1" x14ac:dyDescent="0.3">
      <c r="B487" s="65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5"/>
      <c r="AG487" s="65"/>
      <c r="AH487" s="65"/>
      <c r="AI487" s="65"/>
      <c r="AJ487" s="65"/>
    </row>
    <row r="488" spans="2:36" ht="14.25" customHeight="1" x14ac:dyDescent="0.3">
      <c r="B488" s="65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5"/>
      <c r="AG488" s="65"/>
      <c r="AH488" s="65"/>
      <c r="AI488" s="65"/>
      <c r="AJ488" s="65"/>
    </row>
    <row r="489" spans="2:36" ht="14.25" customHeight="1" x14ac:dyDescent="0.3">
      <c r="B489" s="65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5"/>
      <c r="AG489" s="65"/>
      <c r="AH489" s="65"/>
      <c r="AI489" s="65"/>
      <c r="AJ489" s="65"/>
    </row>
    <row r="490" spans="2:36" ht="14.25" customHeight="1" x14ac:dyDescent="0.3">
      <c r="B490" s="65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5"/>
      <c r="AG490" s="65"/>
      <c r="AH490" s="65"/>
      <c r="AI490" s="65"/>
      <c r="AJ490" s="65"/>
    </row>
    <row r="491" spans="2:36" ht="14.25" customHeight="1" x14ac:dyDescent="0.3">
      <c r="B491" s="65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5"/>
      <c r="AG491" s="65"/>
      <c r="AH491" s="65"/>
      <c r="AI491" s="65"/>
      <c r="AJ491" s="65"/>
    </row>
    <row r="492" spans="2:36" ht="14.25" customHeight="1" x14ac:dyDescent="0.3">
      <c r="B492" s="65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5"/>
      <c r="AG492" s="65"/>
      <c r="AH492" s="65"/>
      <c r="AI492" s="65"/>
      <c r="AJ492" s="65"/>
    </row>
    <row r="493" spans="2:36" ht="14.25" customHeight="1" x14ac:dyDescent="0.3">
      <c r="B493" s="65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5"/>
      <c r="AG493" s="65"/>
      <c r="AH493" s="65"/>
      <c r="AI493" s="65"/>
      <c r="AJ493" s="65"/>
    </row>
    <row r="494" spans="2:36" ht="14.25" customHeight="1" x14ac:dyDescent="0.3">
      <c r="B494" s="65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5"/>
      <c r="AG494" s="65"/>
      <c r="AH494" s="65"/>
      <c r="AI494" s="65"/>
      <c r="AJ494" s="65"/>
    </row>
    <row r="495" spans="2:36" ht="14.25" customHeight="1" x14ac:dyDescent="0.3">
      <c r="B495" s="65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5"/>
      <c r="AG495" s="65"/>
      <c r="AH495" s="65"/>
      <c r="AI495" s="65"/>
      <c r="AJ495" s="65"/>
    </row>
    <row r="496" spans="2:36" ht="14.25" customHeight="1" x14ac:dyDescent="0.3">
      <c r="B496" s="65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5"/>
      <c r="AG496" s="65"/>
      <c r="AH496" s="65"/>
      <c r="AI496" s="65"/>
      <c r="AJ496" s="65"/>
    </row>
    <row r="497" spans="2:36" ht="14.25" customHeight="1" x14ac:dyDescent="0.3">
      <c r="B497" s="65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5"/>
      <c r="AG497" s="65"/>
      <c r="AH497" s="65"/>
      <c r="AI497" s="65"/>
      <c r="AJ497" s="65"/>
    </row>
    <row r="498" spans="2:36" ht="14.25" customHeight="1" x14ac:dyDescent="0.3">
      <c r="B498" s="65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5"/>
      <c r="AG498" s="65"/>
      <c r="AH498" s="65"/>
      <c r="AI498" s="65"/>
      <c r="AJ498" s="65"/>
    </row>
    <row r="499" spans="2:36" ht="14.25" customHeight="1" x14ac:dyDescent="0.3">
      <c r="B499" s="65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5"/>
      <c r="AG499" s="65"/>
      <c r="AH499" s="65"/>
      <c r="AI499" s="65"/>
      <c r="AJ499" s="65"/>
    </row>
    <row r="500" spans="2:36" ht="14.25" customHeight="1" x14ac:dyDescent="0.3">
      <c r="B500" s="65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5"/>
      <c r="AG500" s="65"/>
      <c r="AH500" s="65"/>
      <c r="AI500" s="65"/>
      <c r="AJ500" s="65"/>
    </row>
    <row r="501" spans="2:36" ht="14.25" customHeight="1" x14ac:dyDescent="0.3">
      <c r="B501" s="65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5"/>
      <c r="AG501" s="65"/>
      <c r="AH501" s="65"/>
      <c r="AI501" s="65"/>
      <c r="AJ501" s="65"/>
    </row>
    <row r="502" spans="2:36" ht="14.25" customHeight="1" x14ac:dyDescent="0.3">
      <c r="B502" s="65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5"/>
      <c r="AG502" s="65"/>
      <c r="AH502" s="65"/>
      <c r="AI502" s="65"/>
      <c r="AJ502" s="65"/>
    </row>
    <row r="503" spans="2:36" ht="14.25" customHeight="1" x14ac:dyDescent="0.3">
      <c r="B503" s="65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5"/>
      <c r="AG503" s="65"/>
      <c r="AH503" s="65"/>
      <c r="AI503" s="65"/>
      <c r="AJ503" s="65"/>
    </row>
    <row r="504" spans="2:36" ht="14.25" customHeight="1" x14ac:dyDescent="0.3">
      <c r="B504" s="65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5"/>
      <c r="AG504" s="65"/>
      <c r="AH504" s="65"/>
      <c r="AI504" s="65"/>
      <c r="AJ504" s="65"/>
    </row>
    <row r="505" spans="2:36" ht="14.25" customHeight="1" x14ac:dyDescent="0.3">
      <c r="B505" s="65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5"/>
      <c r="AG505" s="65"/>
      <c r="AH505" s="65"/>
      <c r="AI505" s="65"/>
      <c r="AJ505" s="65"/>
    </row>
    <row r="506" spans="2:36" ht="14.25" customHeight="1" x14ac:dyDescent="0.3">
      <c r="B506" s="65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5"/>
      <c r="AG506" s="65"/>
      <c r="AH506" s="65"/>
      <c r="AI506" s="65"/>
      <c r="AJ506" s="65"/>
    </row>
    <row r="507" spans="2:36" ht="14.25" customHeight="1" x14ac:dyDescent="0.3">
      <c r="B507" s="65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5"/>
      <c r="AG507" s="65"/>
      <c r="AH507" s="65"/>
      <c r="AI507" s="65"/>
      <c r="AJ507" s="65"/>
    </row>
    <row r="508" spans="2:36" ht="14.25" customHeight="1" x14ac:dyDescent="0.3">
      <c r="B508" s="65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5"/>
      <c r="AG508" s="65"/>
      <c r="AH508" s="65"/>
      <c r="AI508" s="65"/>
      <c r="AJ508" s="65"/>
    </row>
    <row r="509" spans="2:36" ht="14.25" customHeight="1" x14ac:dyDescent="0.3">
      <c r="B509" s="65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5"/>
      <c r="AG509" s="65"/>
      <c r="AH509" s="65"/>
      <c r="AI509" s="65"/>
      <c r="AJ509" s="65"/>
    </row>
    <row r="510" spans="2:36" ht="14.25" customHeight="1" x14ac:dyDescent="0.3">
      <c r="B510" s="65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5"/>
      <c r="AG510" s="65"/>
      <c r="AH510" s="65"/>
      <c r="AI510" s="65"/>
      <c r="AJ510" s="65"/>
    </row>
    <row r="511" spans="2:36" ht="14.25" customHeight="1" x14ac:dyDescent="0.3">
      <c r="B511" s="65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5"/>
      <c r="AG511" s="65"/>
      <c r="AH511" s="65"/>
      <c r="AI511" s="65"/>
      <c r="AJ511" s="65"/>
    </row>
    <row r="512" spans="2:36" ht="14.25" customHeight="1" x14ac:dyDescent="0.3">
      <c r="B512" s="65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5"/>
      <c r="AG512" s="65"/>
      <c r="AH512" s="65"/>
      <c r="AI512" s="65"/>
      <c r="AJ512" s="65"/>
    </row>
    <row r="513" spans="2:36" ht="14.25" customHeight="1" x14ac:dyDescent="0.3">
      <c r="B513" s="65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5"/>
      <c r="AG513" s="65"/>
      <c r="AH513" s="65"/>
      <c r="AI513" s="65"/>
      <c r="AJ513" s="65"/>
    </row>
    <row r="514" spans="2:36" ht="14.25" customHeight="1" x14ac:dyDescent="0.3">
      <c r="B514" s="65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5"/>
      <c r="AG514" s="65"/>
      <c r="AH514" s="65"/>
      <c r="AI514" s="65"/>
      <c r="AJ514" s="65"/>
    </row>
    <row r="515" spans="2:36" ht="14.25" customHeight="1" x14ac:dyDescent="0.3">
      <c r="B515" s="65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5"/>
      <c r="AG515" s="65"/>
      <c r="AH515" s="65"/>
      <c r="AI515" s="65"/>
      <c r="AJ515" s="65"/>
    </row>
    <row r="516" spans="2:36" ht="14.25" customHeight="1" x14ac:dyDescent="0.3">
      <c r="B516" s="65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5"/>
      <c r="AG516" s="65"/>
      <c r="AH516" s="65"/>
      <c r="AI516" s="65"/>
      <c r="AJ516" s="65"/>
    </row>
    <row r="517" spans="2:36" ht="14.25" customHeight="1" x14ac:dyDescent="0.3">
      <c r="B517" s="65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5"/>
      <c r="AG517" s="65"/>
      <c r="AH517" s="65"/>
      <c r="AI517" s="65"/>
      <c r="AJ517" s="65"/>
    </row>
    <row r="518" spans="2:36" ht="14.25" customHeight="1" x14ac:dyDescent="0.3">
      <c r="B518" s="65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5"/>
      <c r="AG518" s="65"/>
      <c r="AH518" s="65"/>
      <c r="AI518" s="65"/>
      <c r="AJ518" s="65"/>
    </row>
    <row r="519" spans="2:36" ht="14.25" customHeight="1" x14ac:dyDescent="0.3">
      <c r="B519" s="65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5"/>
      <c r="AG519" s="65"/>
      <c r="AH519" s="65"/>
      <c r="AI519" s="65"/>
      <c r="AJ519" s="65"/>
    </row>
    <row r="520" spans="2:36" ht="14.25" customHeight="1" x14ac:dyDescent="0.3">
      <c r="B520" s="65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5"/>
      <c r="AG520" s="65"/>
      <c r="AH520" s="65"/>
      <c r="AI520" s="65"/>
      <c r="AJ520" s="65"/>
    </row>
    <row r="521" spans="2:36" ht="14.25" customHeight="1" x14ac:dyDescent="0.3">
      <c r="B521" s="65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5"/>
      <c r="AG521" s="65"/>
      <c r="AH521" s="65"/>
      <c r="AI521" s="65"/>
      <c r="AJ521" s="65"/>
    </row>
    <row r="522" spans="2:36" ht="14.25" customHeight="1" x14ac:dyDescent="0.3">
      <c r="B522" s="65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5"/>
      <c r="AG522" s="65"/>
      <c r="AH522" s="65"/>
      <c r="AI522" s="65"/>
      <c r="AJ522" s="65"/>
    </row>
    <row r="523" spans="2:36" ht="14.25" customHeight="1" x14ac:dyDescent="0.3">
      <c r="B523" s="65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5"/>
      <c r="AG523" s="65"/>
      <c r="AH523" s="65"/>
      <c r="AI523" s="65"/>
      <c r="AJ523" s="65"/>
    </row>
    <row r="524" spans="2:36" ht="14.25" customHeight="1" x14ac:dyDescent="0.3">
      <c r="B524" s="65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5"/>
      <c r="AG524" s="65"/>
      <c r="AH524" s="65"/>
      <c r="AI524" s="65"/>
      <c r="AJ524" s="65"/>
    </row>
    <row r="525" spans="2:36" ht="14.25" customHeight="1" x14ac:dyDescent="0.3">
      <c r="B525" s="65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5"/>
      <c r="AG525" s="65"/>
      <c r="AH525" s="65"/>
      <c r="AI525" s="65"/>
      <c r="AJ525" s="65"/>
    </row>
    <row r="526" spans="2:36" ht="14.25" customHeight="1" x14ac:dyDescent="0.3">
      <c r="B526" s="65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5"/>
      <c r="AG526" s="65"/>
      <c r="AH526" s="65"/>
      <c r="AI526" s="65"/>
      <c r="AJ526" s="65"/>
    </row>
    <row r="527" spans="2:36" ht="14.25" customHeight="1" x14ac:dyDescent="0.3">
      <c r="B527" s="65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5"/>
      <c r="AG527" s="65"/>
      <c r="AH527" s="65"/>
      <c r="AI527" s="65"/>
      <c r="AJ527" s="65"/>
    </row>
    <row r="528" spans="2:36" ht="14.25" customHeight="1" x14ac:dyDescent="0.3">
      <c r="B528" s="65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5"/>
      <c r="AG528" s="65"/>
      <c r="AH528" s="65"/>
      <c r="AI528" s="65"/>
      <c r="AJ528" s="65"/>
    </row>
    <row r="529" spans="2:36" ht="14.25" customHeight="1" x14ac:dyDescent="0.3">
      <c r="B529" s="65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5"/>
      <c r="AG529" s="65"/>
      <c r="AH529" s="65"/>
      <c r="AI529" s="65"/>
      <c r="AJ529" s="65"/>
    </row>
    <row r="530" spans="2:36" ht="14.25" customHeight="1" x14ac:dyDescent="0.3">
      <c r="B530" s="65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5"/>
      <c r="AG530" s="65"/>
      <c r="AH530" s="65"/>
      <c r="AI530" s="65"/>
      <c r="AJ530" s="65"/>
    </row>
    <row r="531" spans="2:36" ht="14.25" customHeight="1" x14ac:dyDescent="0.3">
      <c r="B531" s="65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5"/>
      <c r="AG531" s="65"/>
      <c r="AH531" s="65"/>
      <c r="AI531" s="65"/>
      <c r="AJ531" s="65"/>
    </row>
    <row r="532" spans="2:36" ht="14.25" customHeight="1" x14ac:dyDescent="0.3">
      <c r="B532" s="65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5"/>
      <c r="AG532" s="65"/>
      <c r="AH532" s="65"/>
      <c r="AI532" s="65"/>
      <c r="AJ532" s="65"/>
    </row>
    <row r="533" spans="2:36" ht="14.25" customHeight="1" x14ac:dyDescent="0.3">
      <c r="B533" s="65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5"/>
      <c r="AG533" s="65"/>
      <c r="AH533" s="65"/>
      <c r="AI533" s="65"/>
      <c r="AJ533" s="65"/>
    </row>
    <row r="534" spans="2:36" ht="14.25" customHeight="1" x14ac:dyDescent="0.3">
      <c r="B534" s="65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5"/>
      <c r="AG534" s="65"/>
      <c r="AH534" s="65"/>
      <c r="AI534" s="65"/>
      <c r="AJ534" s="65"/>
    </row>
    <row r="535" spans="2:36" ht="14.25" customHeight="1" x14ac:dyDescent="0.3">
      <c r="B535" s="65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5"/>
      <c r="AG535" s="65"/>
      <c r="AH535" s="65"/>
      <c r="AI535" s="65"/>
      <c r="AJ535" s="65"/>
    </row>
    <row r="536" spans="2:36" ht="14.25" customHeight="1" x14ac:dyDescent="0.3">
      <c r="B536" s="65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5"/>
      <c r="AG536" s="65"/>
      <c r="AH536" s="65"/>
      <c r="AI536" s="65"/>
      <c r="AJ536" s="65"/>
    </row>
    <row r="537" spans="2:36" ht="14.25" customHeight="1" x14ac:dyDescent="0.3">
      <c r="B537" s="65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5"/>
      <c r="AG537" s="65"/>
      <c r="AH537" s="65"/>
      <c r="AI537" s="65"/>
      <c r="AJ537" s="65"/>
    </row>
    <row r="538" spans="2:36" ht="14.25" customHeight="1" x14ac:dyDescent="0.3">
      <c r="B538" s="65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5"/>
      <c r="AG538" s="65"/>
      <c r="AH538" s="65"/>
      <c r="AI538" s="65"/>
      <c r="AJ538" s="65"/>
    </row>
    <row r="539" spans="2:36" ht="14.25" customHeight="1" x14ac:dyDescent="0.3">
      <c r="B539" s="65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5"/>
      <c r="AG539" s="65"/>
      <c r="AH539" s="65"/>
      <c r="AI539" s="65"/>
      <c r="AJ539" s="65"/>
    </row>
    <row r="540" spans="2:36" ht="14.25" customHeight="1" x14ac:dyDescent="0.3">
      <c r="B540" s="65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5"/>
      <c r="AG540" s="65"/>
      <c r="AH540" s="65"/>
      <c r="AI540" s="65"/>
      <c r="AJ540" s="65"/>
    </row>
    <row r="541" spans="2:36" ht="14.25" customHeight="1" x14ac:dyDescent="0.3">
      <c r="B541" s="65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5"/>
      <c r="AG541" s="65"/>
      <c r="AH541" s="65"/>
      <c r="AI541" s="65"/>
      <c r="AJ541" s="65"/>
    </row>
    <row r="542" spans="2:36" ht="14.25" customHeight="1" x14ac:dyDescent="0.3">
      <c r="B542" s="65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5"/>
      <c r="AG542" s="65"/>
      <c r="AH542" s="65"/>
      <c r="AI542" s="65"/>
      <c r="AJ542" s="65"/>
    </row>
    <row r="543" spans="2:36" ht="14.25" customHeight="1" x14ac:dyDescent="0.3">
      <c r="B543" s="65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5"/>
      <c r="AG543" s="65"/>
      <c r="AH543" s="65"/>
      <c r="AI543" s="65"/>
      <c r="AJ543" s="65"/>
    </row>
    <row r="544" spans="2:36" ht="14.25" customHeight="1" x14ac:dyDescent="0.3">
      <c r="B544" s="65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5"/>
      <c r="AG544" s="65"/>
      <c r="AH544" s="65"/>
      <c r="AI544" s="65"/>
      <c r="AJ544" s="65"/>
    </row>
    <row r="545" spans="2:36" ht="14.25" customHeight="1" x14ac:dyDescent="0.3">
      <c r="B545" s="65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5"/>
      <c r="AG545" s="65"/>
      <c r="AH545" s="65"/>
      <c r="AI545" s="65"/>
      <c r="AJ545" s="65"/>
    </row>
    <row r="546" spans="2:36" ht="14.25" customHeight="1" x14ac:dyDescent="0.3">
      <c r="B546" s="65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5"/>
      <c r="AG546" s="65"/>
      <c r="AH546" s="65"/>
      <c r="AI546" s="65"/>
      <c r="AJ546" s="65"/>
    </row>
    <row r="547" spans="2:36" ht="14.25" customHeight="1" x14ac:dyDescent="0.3">
      <c r="B547" s="65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5"/>
      <c r="AG547" s="65"/>
      <c r="AH547" s="65"/>
      <c r="AI547" s="65"/>
      <c r="AJ547" s="65"/>
    </row>
    <row r="548" spans="2:36" ht="14.25" customHeight="1" x14ac:dyDescent="0.3">
      <c r="B548" s="65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5"/>
      <c r="AG548" s="65"/>
      <c r="AH548" s="65"/>
      <c r="AI548" s="65"/>
      <c r="AJ548" s="65"/>
    </row>
    <row r="549" spans="2:36" ht="14.25" customHeight="1" x14ac:dyDescent="0.3">
      <c r="B549" s="65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5"/>
      <c r="AG549" s="65"/>
      <c r="AH549" s="65"/>
      <c r="AI549" s="65"/>
      <c r="AJ549" s="65"/>
    </row>
    <row r="550" spans="2:36" ht="14.25" customHeight="1" x14ac:dyDescent="0.3">
      <c r="B550" s="65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5"/>
      <c r="AG550" s="65"/>
      <c r="AH550" s="65"/>
      <c r="AI550" s="65"/>
      <c r="AJ550" s="65"/>
    </row>
    <row r="551" spans="2:36" ht="14.25" customHeight="1" x14ac:dyDescent="0.3">
      <c r="B551" s="65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5"/>
      <c r="AG551" s="65"/>
      <c r="AH551" s="65"/>
      <c r="AI551" s="65"/>
      <c r="AJ551" s="65"/>
    </row>
    <row r="552" spans="2:36" ht="14.25" customHeight="1" x14ac:dyDescent="0.3">
      <c r="B552" s="65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5"/>
      <c r="AG552" s="65"/>
      <c r="AH552" s="65"/>
      <c r="AI552" s="65"/>
      <c r="AJ552" s="65"/>
    </row>
    <row r="553" spans="2:36" ht="14.25" customHeight="1" x14ac:dyDescent="0.3">
      <c r="B553" s="65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5"/>
      <c r="AG553" s="65"/>
      <c r="AH553" s="65"/>
      <c r="AI553" s="65"/>
      <c r="AJ553" s="65"/>
    </row>
    <row r="554" spans="2:36" ht="14.25" customHeight="1" x14ac:dyDescent="0.3">
      <c r="B554" s="65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5"/>
      <c r="AG554" s="65"/>
      <c r="AH554" s="65"/>
      <c r="AI554" s="65"/>
      <c r="AJ554" s="65"/>
    </row>
    <row r="555" spans="2:36" ht="14.25" customHeight="1" x14ac:dyDescent="0.3">
      <c r="B555" s="65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5"/>
      <c r="AG555" s="65"/>
      <c r="AH555" s="65"/>
      <c r="AI555" s="65"/>
      <c r="AJ555" s="65"/>
    </row>
    <row r="556" spans="2:36" ht="14.25" customHeight="1" x14ac:dyDescent="0.3">
      <c r="B556" s="65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5"/>
      <c r="AG556" s="65"/>
      <c r="AH556" s="65"/>
      <c r="AI556" s="65"/>
      <c r="AJ556" s="65"/>
    </row>
    <row r="557" spans="2:36" ht="14.25" customHeight="1" x14ac:dyDescent="0.3">
      <c r="B557" s="65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5"/>
      <c r="AG557" s="65"/>
      <c r="AH557" s="65"/>
      <c r="AI557" s="65"/>
      <c r="AJ557" s="65"/>
    </row>
    <row r="558" spans="2:36" ht="14.25" customHeight="1" x14ac:dyDescent="0.3">
      <c r="B558" s="65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5"/>
      <c r="AG558" s="65"/>
      <c r="AH558" s="65"/>
      <c r="AI558" s="65"/>
      <c r="AJ558" s="65"/>
    </row>
    <row r="559" spans="2:36" ht="14.25" customHeight="1" x14ac:dyDescent="0.3">
      <c r="B559" s="65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5"/>
      <c r="AG559" s="65"/>
      <c r="AH559" s="65"/>
      <c r="AI559" s="65"/>
      <c r="AJ559" s="65"/>
    </row>
    <row r="560" spans="2:36" ht="14.25" customHeight="1" x14ac:dyDescent="0.3">
      <c r="B560" s="65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5"/>
      <c r="AG560" s="65"/>
      <c r="AH560" s="65"/>
      <c r="AI560" s="65"/>
      <c r="AJ560" s="65"/>
    </row>
    <row r="561" spans="2:36" ht="14.25" customHeight="1" x14ac:dyDescent="0.3">
      <c r="B561" s="65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5"/>
      <c r="AG561" s="65"/>
      <c r="AH561" s="65"/>
      <c r="AI561" s="65"/>
      <c r="AJ561" s="65"/>
    </row>
    <row r="562" spans="2:36" ht="14.25" customHeight="1" x14ac:dyDescent="0.3">
      <c r="B562" s="65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5"/>
      <c r="AG562" s="65"/>
      <c r="AH562" s="65"/>
      <c r="AI562" s="65"/>
      <c r="AJ562" s="65"/>
    </row>
    <row r="563" spans="2:36" ht="14.25" customHeight="1" x14ac:dyDescent="0.3">
      <c r="B563" s="65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5"/>
      <c r="AG563" s="65"/>
      <c r="AH563" s="65"/>
      <c r="AI563" s="65"/>
      <c r="AJ563" s="65"/>
    </row>
    <row r="564" spans="2:36" ht="14.25" customHeight="1" x14ac:dyDescent="0.3">
      <c r="B564" s="65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5"/>
      <c r="AG564" s="65"/>
      <c r="AH564" s="65"/>
      <c r="AI564" s="65"/>
      <c r="AJ564" s="65"/>
    </row>
    <row r="565" spans="2:36" ht="14.25" customHeight="1" x14ac:dyDescent="0.3">
      <c r="B565" s="65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5"/>
      <c r="AG565" s="65"/>
      <c r="AH565" s="65"/>
      <c r="AI565" s="65"/>
      <c r="AJ565" s="65"/>
    </row>
    <row r="566" spans="2:36" ht="14.25" customHeight="1" x14ac:dyDescent="0.3">
      <c r="B566" s="65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5"/>
      <c r="AG566" s="65"/>
      <c r="AH566" s="65"/>
      <c r="AI566" s="65"/>
      <c r="AJ566" s="65"/>
    </row>
    <row r="567" spans="2:36" ht="14.25" customHeight="1" x14ac:dyDescent="0.3">
      <c r="B567" s="65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5"/>
      <c r="AG567" s="65"/>
      <c r="AH567" s="65"/>
      <c r="AI567" s="65"/>
      <c r="AJ567" s="65"/>
    </row>
    <row r="568" spans="2:36" ht="14.25" customHeight="1" x14ac:dyDescent="0.3">
      <c r="B568" s="65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5"/>
      <c r="AG568" s="65"/>
      <c r="AH568" s="65"/>
      <c r="AI568" s="65"/>
      <c r="AJ568" s="65"/>
    </row>
    <row r="569" spans="2:36" ht="14.25" customHeight="1" x14ac:dyDescent="0.3">
      <c r="B569" s="65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5"/>
      <c r="AG569" s="65"/>
      <c r="AH569" s="65"/>
      <c r="AI569" s="65"/>
      <c r="AJ569" s="65"/>
    </row>
    <row r="570" spans="2:36" ht="14.25" customHeight="1" x14ac:dyDescent="0.3">
      <c r="B570" s="65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5"/>
      <c r="AG570" s="65"/>
      <c r="AH570" s="65"/>
      <c r="AI570" s="65"/>
      <c r="AJ570" s="65"/>
    </row>
    <row r="571" spans="2:36" ht="14.25" customHeight="1" x14ac:dyDescent="0.3">
      <c r="B571" s="65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5"/>
      <c r="AG571" s="65"/>
      <c r="AH571" s="65"/>
      <c r="AI571" s="65"/>
      <c r="AJ571" s="65"/>
    </row>
    <row r="572" spans="2:36" ht="14.25" customHeight="1" x14ac:dyDescent="0.3">
      <c r="B572" s="65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5"/>
      <c r="AG572" s="65"/>
      <c r="AH572" s="65"/>
      <c r="AI572" s="65"/>
      <c r="AJ572" s="65"/>
    </row>
    <row r="573" spans="2:36" ht="14.25" customHeight="1" x14ac:dyDescent="0.3">
      <c r="B573" s="65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5"/>
      <c r="AG573" s="65"/>
      <c r="AH573" s="65"/>
      <c r="AI573" s="65"/>
      <c r="AJ573" s="65"/>
    </row>
    <row r="574" spans="2:36" ht="14.25" customHeight="1" x14ac:dyDescent="0.3">
      <c r="B574" s="65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5"/>
      <c r="AG574" s="65"/>
      <c r="AH574" s="65"/>
      <c r="AI574" s="65"/>
      <c r="AJ574" s="65"/>
    </row>
    <row r="575" spans="2:36" ht="14.25" customHeight="1" x14ac:dyDescent="0.3">
      <c r="B575" s="65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5"/>
      <c r="AG575" s="65"/>
      <c r="AH575" s="65"/>
      <c r="AI575" s="65"/>
      <c r="AJ575" s="65"/>
    </row>
    <row r="576" spans="2:36" ht="14.25" customHeight="1" x14ac:dyDescent="0.3">
      <c r="B576" s="65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5"/>
      <c r="AG576" s="65"/>
      <c r="AH576" s="65"/>
      <c r="AI576" s="65"/>
      <c r="AJ576" s="65"/>
    </row>
    <row r="577" spans="2:36" ht="14.25" customHeight="1" x14ac:dyDescent="0.3">
      <c r="B577" s="65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5"/>
      <c r="AG577" s="65"/>
      <c r="AH577" s="65"/>
      <c r="AI577" s="65"/>
      <c r="AJ577" s="65"/>
    </row>
    <row r="578" spans="2:36" ht="14.25" customHeight="1" x14ac:dyDescent="0.3">
      <c r="B578" s="65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5"/>
      <c r="AG578" s="65"/>
      <c r="AH578" s="65"/>
      <c r="AI578" s="65"/>
      <c r="AJ578" s="65"/>
    </row>
    <row r="579" spans="2:36" ht="14.25" customHeight="1" x14ac:dyDescent="0.3">
      <c r="B579" s="65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5"/>
      <c r="AG579" s="65"/>
      <c r="AH579" s="65"/>
      <c r="AI579" s="65"/>
      <c r="AJ579" s="65"/>
    </row>
    <row r="580" spans="2:36" ht="14.25" customHeight="1" x14ac:dyDescent="0.3">
      <c r="B580" s="65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5"/>
      <c r="AG580" s="65"/>
      <c r="AH580" s="65"/>
      <c r="AI580" s="65"/>
      <c r="AJ580" s="65"/>
    </row>
    <row r="581" spans="2:36" ht="14.25" customHeight="1" x14ac:dyDescent="0.3">
      <c r="B581" s="65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5"/>
      <c r="AG581" s="65"/>
      <c r="AH581" s="65"/>
      <c r="AI581" s="65"/>
      <c r="AJ581" s="65"/>
    </row>
    <row r="582" spans="2:36" ht="14.25" customHeight="1" x14ac:dyDescent="0.3">
      <c r="B582" s="65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5"/>
      <c r="AG582" s="65"/>
      <c r="AH582" s="65"/>
      <c r="AI582" s="65"/>
      <c r="AJ582" s="65"/>
    </row>
    <row r="583" spans="2:36" ht="14.25" customHeight="1" x14ac:dyDescent="0.3">
      <c r="B583" s="65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5"/>
      <c r="AG583" s="65"/>
      <c r="AH583" s="65"/>
      <c r="AI583" s="65"/>
      <c r="AJ583" s="65"/>
    </row>
    <row r="584" spans="2:36" ht="14.25" customHeight="1" x14ac:dyDescent="0.3">
      <c r="B584" s="65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5"/>
      <c r="AG584" s="65"/>
      <c r="AH584" s="65"/>
      <c r="AI584" s="65"/>
      <c r="AJ584" s="65"/>
    </row>
    <row r="585" spans="2:36" ht="14.25" customHeight="1" x14ac:dyDescent="0.3">
      <c r="B585" s="65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5"/>
      <c r="AG585" s="65"/>
      <c r="AH585" s="65"/>
      <c r="AI585" s="65"/>
      <c r="AJ585" s="65"/>
    </row>
    <row r="586" spans="2:36" ht="14.25" customHeight="1" x14ac:dyDescent="0.3">
      <c r="B586" s="65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5"/>
      <c r="AG586" s="65"/>
      <c r="AH586" s="65"/>
      <c r="AI586" s="65"/>
      <c r="AJ586" s="65"/>
    </row>
    <row r="587" spans="2:36" ht="14.25" customHeight="1" x14ac:dyDescent="0.3">
      <c r="B587" s="65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5"/>
      <c r="AG587" s="65"/>
      <c r="AH587" s="65"/>
      <c r="AI587" s="65"/>
      <c r="AJ587" s="65"/>
    </row>
    <row r="588" spans="2:36" ht="14.25" customHeight="1" x14ac:dyDescent="0.3">
      <c r="B588" s="65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5"/>
      <c r="AG588" s="65"/>
      <c r="AH588" s="65"/>
      <c r="AI588" s="65"/>
      <c r="AJ588" s="65"/>
    </row>
    <row r="589" spans="2:36" ht="14.25" customHeight="1" x14ac:dyDescent="0.3">
      <c r="B589" s="65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5"/>
      <c r="AG589" s="65"/>
      <c r="AH589" s="65"/>
      <c r="AI589" s="65"/>
      <c r="AJ589" s="65"/>
    </row>
    <row r="590" spans="2:36" ht="14.25" customHeight="1" x14ac:dyDescent="0.3">
      <c r="B590" s="65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5"/>
      <c r="AG590" s="65"/>
      <c r="AH590" s="65"/>
      <c r="AI590" s="65"/>
      <c r="AJ590" s="65"/>
    </row>
    <row r="591" spans="2:36" ht="14.25" customHeight="1" x14ac:dyDescent="0.3">
      <c r="B591" s="65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5"/>
      <c r="AG591" s="65"/>
      <c r="AH591" s="65"/>
      <c r="AI591" s="65"/>
      <c r="AJ591" s="65"/>
    </row>
    <row r="592" spans="2:36" ht="14.25" customHeight="1" x14ac:dyDescent="0.3">
      <c r="B592" s="65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5"/>
      <c r="AG592" s="65"/>
      <c r="AH592" s="65"/>
      <c r="AI592" s="65"/>
      <c r="AJ592" s="65"/>
    </row>
    <row r="593" spans="2:36" ht="14.25" customHeight="1" x14ac:dyDescent="0.3">
      <c r="B593" s="65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5"/>
      <c r="AG593" s="65"/>
      <c r="AH593" s="65"/>
      <c r="AI593" s="65"/>
      <c r="AJ593" s="65"/>
    </row>
    <row r="594" spans="2:36" ht="14.25" customHeight="1" x14ac:dyDescent="0.3">
      <c r="B594" s="65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5"/>
      <c r="AG594" s="65"/>
      <c r="AH594" s="65"/>
      <c r="AI594" s="65"/>
      <c r="AJ594" s="65"/>
    </row>
    <row r="595" spans="2:36" ht="14.25" customHeight="1" x14ac:dyDescent="0.3">
      <c r="B595" s="65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5"/>
      <c r="AG595" s="65"/>
      <c r="AH595" s="65"/>
      <c r="AI595" s="65"/>
      <c r="AJ595" s="65"/>
    </row>
    <row r="596" spans="2:36" ht="14.25" customHeight="1" x14ac:dyDescent="0.3">
      <c r="B596" s="65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5"/>
      <c r="AG596" s="65"/>
      <c r="AH596" s="65"/>
      <c r="AI596" s="65"/>
      <c r="AJ596" s="65"/>
    </row>
    <row r="597" spans="2:36" ht="14.25" customHeight="1" x14ac:dyDescent="0.3">
      <c r="B597" s="65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5"/>
      <c r="AG597" s="65"/>
      <c r="AH597" s="65"/>
      <c r="AI597" s="65"/>
      <c r="AJ597" s="65"/>
    </row>
    <row r="598" spans="2:36" ht="14.25" customHeight="1" x14ac:dyDescent="0.3">
      <c r="B598" s="65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5"/>
      <c r="AG598" s="65"/>
      <c r="AH598" s="65"/>
      <c r="AI598" s="65"/>
      <c r="AJ598" s="65"/>
    </row>
    <row r="599" spans="2:36" ht="14.25" customHeight="1" x14ac:dyDescent="0.3">
      <c r="B599" s="65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5"/>
      <c r="AG599" s="65"/>
      <c r="AH599" s="65"/>
      <c r="AI599" s="65"/>
      <c r="AJ599" s="65"/>
    </row>
    <row r="600" spans="2:36" ht="14.25" customHeight="1" x14ac:dyDescent="0.3">
      <c r="B600" s="65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5"/>
      <c r="AG600" s="65"/>
      <c r="AH600" s="65"/>
      <c r="AI600" s="65"/>
      <c r="AJ600" s="65"/>
    </row>
    <row r="601" spans="2:36" ht="14.25" customHeight="1" x14ac:dyDescent="0.3">
      <c r="B601" s="65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5"/>
      <c r="AG601" s="65"/>
      <c r="AH601" s="65"/>
      <c r="AI601" s="65"/>
      <c r="AJ601" s="65"/>
    </row>
    <row r="602" spans="2:36" ht="14.25" customHeight="1" x14ac:dyDescent="0.3">
      <c r="B602" s="65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5"/>
      <c r="AG602" s="65"/>
      <c r="AH602" s="65"/>
      <c r="AI602" s="65"/>
      <c r="AJ602" s="65"/>
    </row>
    <row r="603" spans="2:36" ht="14.25" customHeight="1" x14ac:dyDescent="0.3">
      <c r="B603" s="65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5"/>
      <c r="AG603" s="65"/>
      <c r="AH603" s="65"/>
      <c r="AI603" s="65"/>
      <c r="AJ603" s="65"/>
    </row>
    <row r="604" spans="2:36" ht="14.25" customHeight="1" x14ac:dyDescent="0.3">
      <c r="B604" s="65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5"/>
      <c r="AG604" s="65"/>
      <c r="AH604" s="65"/>
      <c r="AI604" s="65"/>
      <c r="AJ604" s="65"/>
    </row>
    <row r="605" spans="2:36" ht="14.25" customHeight="1" x14ac:dyDescent="0.3">
      <c r="B605" s="65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5"/>
      <c r="AG605" s="65"/>
      <c r="AH605" s="65"/>
      <c r="AI605" s="65"/>
      <c r="AJ605" s="65"/>
    </row>
    <row r="606" spans="2:36" ht="14.25" customHeight="1" x14ac:dyDescent="0.3">
      <c r="B606" s="65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5"/>
      <c r="AG606" s="65"/>
      <c r="AH606" s="65"/>
      <c r="AI606" s="65"/>
      <c r="AJ606" s="65"/>
    </row>
    <row r="607" spans="2:36" ht="14.25" customHeight="1" x14ac:dyDescent="0.3">
      <c r="B607" s="65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5"/>
      <c r="AG607" s="65"/>
      <c r="AH607" s="65"/>
      <c r="AI607" s="65"/>
      <c r="AJ607" s="65"/>
    </row>
    <row r="608" spans="2:36" ht="14.25" customHeight="1" x14ac:dyDescent="0.3">
      <c r="B608" s="65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5"/>
      <c r="AG608" s="65"/>
      <c r="AH608" s="65"/>
      <c r="AI608" s="65"/>
      <c r="AJ608" s="65"/>
    </row>
    <row r="609" spans="2:36" ht="14.25" customHeight="1" x14ac:dyDescent="0.3">
      <c r="B609" s="65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5"/>
      <c r="AG609" s="65"/>
      <c r="AH609" s="65"/>
      <c r="AI609" s="65"/>
      <c r="AJ609" s="65"/>
    </row>
    <row r="610" spans="2:36" ht="14.25" customHeight="1" x14ac:dyDescent="0.3">
      <c r="B610" s="65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5"/>
      <c r="AG610" s="65"/>
      <c r="AH610" s="65"/>
      <c r="AI610" s="65"/>
      <c r="AJ610" s="65"/>
    </row>
    <row r="611" spans="2:36" ht="14.25" customHeight="1" x14ac:dyDescent="0.3">
      <c r="B611" s="65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5"/>
      <c r="AG611" s="65"/>
      <c r="AH611" s="65"/>
      <c r="AI611" s="65"/>
      <c r="AJ611" s="65"/>
    </row>
    <row r="612" spans="2:36" ht="14.25" customHeight="1" x14ac:dyDescent="0.3">
      <c r="B612" s="65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5"/>
      <c r="AG612" s="65"/>
      <c r="AH612" s="65"/>
      <c r="AI612" s="65"/>
      <c r="AJ612" s="65"/>
    </row>
    <row r="613" spans="2:36" ht="14.25" customHeight="1" x14ac:dyDescent="0.3">
      <c r="B613" s="65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5"/>
      <c r="AG613" s="65"/>
      <c r="AH613" s="65"/>
      <c r="AI613" s="65"/>
      <c r="AJ613" s="65"/>
    </row>
    <row r="614" spans="2:36" ht="14.25" customHeight="1" x14ac:dyDescent="0.3">
      <c r="B614" s="65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5"/>
      <c r="AG614" s="65"/>
      <c r="AH614" s="65"/>
      <c r="AI614" s="65"/>
      <c r="AJ614" s="65"/>
    </row>
    <row r="615" spans="2:36" ht="14.25" customHeight="1" x14ac:dyDescent="0.3">
      <c r="B615" s="65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5"/>
      <c r="AG615" s="65"/>
      <c r="AH615" s="65"/>
      <c r="AI615" s="65"/>
      <c r="AJ615" s="65"/>
    </row>
    <row r="616" spans="2:36" ht="14.25" customHeight="1" x14ac:dyDescent="0.3">
      <c r="B616" s="65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5"/>
      <c r="AG616" s="65"/>
      <c r="AH616" s="65"/>
      <c r="AI616" s="65"/>
      <c r="AJ616" s="65"/>
    </row>
    <row r="617" spans="2:36" ht="14.25" customHeight="1" x14ac:dyDescent="0.3">
      <c r="B617" s="65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5"/>
      <c r="AG617" s="65"/>
      <c r="AH617" s="65"/>
      <c r="AI617" s="65"/>
      <c r="AJ617" s="65"/>
    </row>
    <row r="618" spans="2:36" ht="14.25" customHeight="1" x14ac:dyDescent="0.3">
      <c r="B618" s="65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5"/>
      <c r="AG618" s="65"/>
      <c r="AH618" s="65"/>
      <c r="AI618" s="65"/>
      <c r="AJ618" s="65"/>
    </row>
    <row r="619" spans="2:36" ht="14.25" customHeight="1" x14ac:dyDescent="0.3">
      <c r="B619" s="65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5"/>
      <c r="AG619" s="65"/>
      <c r="AH619" s="65"/>
      <c r="AI619" s="65"/>
      <c r="AJ619" s="65"/>
    </row>
    <row r="620" spans="2:36" ht="14.25" customHeight="1" x14ac:dyDescent="0.3">
      <c r="B620" s="65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5"/>
      <c r="AG620" s="65"/>
      <c r="AH620" s="65"/>
      <c r="AI620" s="65"/>
      <c r="AJ620" s="65"/>
    </row>
    <row r="621" spans="2:36" ht="14.25" customHeight="1" x14ac:dyDescent="0.3">
      <c r="B621" s="65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5"/>
      <c r="AG621" s="65"/>
      <c r="AH621" s="65"/>
      <c r="AI621" s="65"/>
      <c r="AJ621" s="65"/>
    </row>
    <row r="622" spans="2:36" ht="14.25" customHeight="1" x14ac:dyDescent="0.3">
      <c r="B622" s="65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5"/>
      <c r="AG622" s="65"/>
      <c r="AH622" s="65"/>
      <c r="AI622" s="65"/>
      <c r="AJ622" s="65"/>
    </row>
    <row r="623" spans="2:36" ht="14.25" customHeight="1" x14ac:dyDescent="0.3">
      <c r="B623" s="65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5"/>
      <c r="AG623" s="65"/>
      <c r="AH623" s="65"/>
      <c r="AI623" s="65"/>
      <c r="AJ623" s="65"/>
    </row>
    <row r="624" spans="2:36" ht="14.25" customHeight="1" x14ac:dyDescent="0.3">
      <c r="B624" s="65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5"/>
      <c r="AG624" s="65"/>
      <c r="AH624" s="65"/>
      <c r="AI624" s="65"/>
      <c r="AJ624" s="65"/>
    </row>
    <row r="625" spans="2:36" ht="14.25" customHeight="1" x14ac:dyDescent="0.3">
      <c r="B625" s="65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5"/>
      <c r="AG625" s="65"/>
      <c r="AH625" s="65"/>
      <c r="AI625" s="65"/>
      <c r="AJ625" s="65"/>
    </row>
    <row r="626" spans="2:36" ht="14.25" customHeight="1" x14ac:dyDescent="0.3">
      <c r="B626" s="65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5"/>
      <c r="AG626" s="65"/>
      <c r="AH626" s="65"/>
      <c r="AI626" s="65"/>
      <c r="AJ626" s="65"/>
    </row>
    <row r="627" spans="2:36" ht="14.25" customHeight="1" x14ac:dyDescent="0.3">
      <c r="B627" s="65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5"/>
      <c r="AG627" s="65"/>
      <c r="AH627" s="65"/>
      <c r="AI627" s="65"/>
      <c r="AJ627" s="65"/>
    </row>
    <row r="628" spans="2:36" ht="14.25" customHeight="1" x14ac:dyDescent="0.3">
      <c r="B628" s="65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5"/>
      <c r="AG628" s="65"/>
      <c r="AH628" s="65"/>
      <c r="AI628" s="65"/>
      <c r="AJ628" s="65"/>
    </row>
    <row r="629" spans="2:36" ht="14.25" customHeight="1" x14ac:dyDescent="0.3">
      <c r="B629" s="65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5"/>
      <c r="AG629" s="65"/>
      <c r="AH629" s="65"/>
      <c r="AI629" s="65"/>
      <c r="AJ629" s="65"/>
    </row>
    <row r="630" spans="2:36" ht="14.25" customHeight="1" x14ac:dyDescent="0.3">
      <c r="B630" s="65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5"/>
      <c r="AG630" s="65"/>
      <c r="AH630" s="65"/>
      <c r="AI630" s="65"/>
      <c r="AJ630" s="65"/>
    </row>
    <row r="631" spans="2:36" ht="14.25" customHeight="1" x14ac:dyDescent="0.3">
      <c r="B631" s="65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5"/>
      <c r="AG631" s="65"/>
      <c r="AH631" s="65"/>
      <c r="AI631" s="65"/>
      <c r="AJ631" s="65"/>
    </row>
    <row r="632" spans="2:36" ht="14.25" customHeight="1" x14ac:dyDescent="0.3">
      <c r="B632" s="65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5"/>
      <c r="AG632" s="65"/>
      <c r="AH632" s="65"/>
      <c r="AI632" s="65"/>
      <c r="AJ632" s="65"/>
    </row>
    <row r="633" spans="2:36" ht="14.25" customHeight="1" x14ac:dyDescent="0.3">
      <c r="B633" s="65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5"/>
      <c r="AG633" s="65"/>
      <c r="AH633" s="65"/>
      <c r="AI633" s="65"/>
      <c r="AJ633" s="65"/>
    </row>
    <row r="634" spans="2:36" ht="14.25" customHeight="1" x14ac:dyDescent="0.3">
      <c r="B634" s="65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5"/>
      <c r="AG634" s="65"/>
      <c r="AH634" s="65"/>
      <c r="AI634" s="65"/>
      <c r="AJ634" s="65"/>
    </row>
    <row r="635" spans="2:36" ht="14.25" customHeight="1" x14ac:dyDescent="0.3">
      <c r="B635" s="65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5"/>
      <c r="AG635" s="65"/>
      <c r="AH635" s="65"/>
      <c r="AI635" s="65"/>
      <c r="AJ635" s="65"/>
    </row>
    <row r="636" spans="2:36" ht="14.25" customHeight="1" x14ac:dyDescent="0.3">
      <c r="B636" s="65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5"/>
      <c r="AG636" s="65"/>
      <c r="AH636" s="65"/>
      <c r="AI636" s="65"/>
      <c r="AJ636" s="65"/>
    </row>
    <row r="637" spans="2:36" ht="14.25" customHeight="1" x14ac:dyDescent="0.3">
      <c r="B637" s="65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5"/>
      <c r="AG637" s="65"/>
      <c r="AH637" s="65"/>
      <c r="AI637" s="65"/>
      <c r="AJ637" s="65"/>
    </row>
    <row r="638" spans="2:36" ht="14.25" customHeight="1" x14ac:dyDescent="0.3">
      <c r="B638" s="65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5"/>
      <c r="AG638" s="65"/>
      <c r="AH638" s="65"/>
      <c r="AI638" s="65"/>
      <c r="AJ638" s="65"/>
    </row>
    <row r="639" spans="2:36" ht="14.25" customHeight="1" x14ac:dyDescent="0.3">
      <c r="B639" s="65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5"/>
      <c r="AG639" s="65"/>
      <c r="AH639" s="65"/>
      <c r="AI639" s="65"/>
      <c r="AJ639" s="65"/>
    </row>
    <row r="640" spans="2:36" ht="14.25" customHeight="1" x14ac:dyDescent="0.3">
      <c r="B640" s="65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5"/>
      <c r="AG640" s="65"/>
      <c r="AH640" s="65"/>
      <c r="AI640" s="65"/>
      <c r="AJ640" s="65"/>
    </row>
    <row r="641" spans="2:36" ht="14.25" customHeight="1" x14ac:dyDescent="0.3">
      <c r="B641" s="65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5"/>
      <c r="AG641" s="65"/>
      <c r="AH641" s="65"/>
      <c r="AI641" s="65"/>
      <c r="AJ641" s="65"/>
    </row>
    <row r="642" spans="2:36" ht="14.25" customHeight="1" x14ac:dyDescent="0.3">
      <c r="B642" s="65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5"/>
      <c r="AG642" s="65"/>
      <c r="AH642" s="65"/>
      <c r="AI642" s="65"/>
      <c r="AJ642" s="65"/>
    </row>
    <row r="643" spans="2:36" ht="14.25" customHeight="1" x14ac:dyDescent="0.3">
      <c r="B643" s="65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5"/>
      <c r="AG643" s="65"/>
      <c r="AH643" s="65"/>
      <c r="AI643" s="65"/>
      <c r="AJ643" s="65"/>
    </row>
    <row r="644" spans="2:36" ht="14.25" customHeight="1" x14ac:dyDescent="0.3">
      <c r="B644" s="65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5"/>
      <c r="AG644" s="65"/>
      <c r="AH644" s="65"/>
      <c r="AI644" s="65"/>
      <c r="AJ644" s="65"/>
    </row>
    <row r="645" spans="2:36" ht="14.25" customHeight="1" x14ac:dyDescent="0.3">
      <c r="B645" s="65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5"/>
      <c r="AG645" s="65"/>
      <c r="AH645" s="65"/>
      <c r="AI645" s="65"/>
      <c r="AJ645" s="65"/>
    </row>
    <row r="646" spans="2:36" ht="14.25" customHeight="1" x14ac:dyDescent="0.3">
      <c r="B646" s="65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5"/>
      <c r="AG646" s="65"/>
      <c r="AH646" s="65"/>
      <c r="AI646" s="65"/>
      <c r="AJ646" s="65"/>
    </row>
    <row r="647" spans="2:36" ht="14.25" customHeight="1" x14ac:dyDescent="0.3">
      <c r="B647" s="65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5"/>
      <c r="AG647" s="65"/>
      <c r="AH647" s="65"/>
      <c r="AI647" s="65"/>
      <c r="AJ647" s="65"/>
    </row>
    <row r="648" spans="2:36" ht="14.25" customHeight="1" x14ac:dyDescent="0.3">
      <c r="B648" s="65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5"/>
      <c r="AG648" s="65"/>
      <c r="AH648" s="65"/>
      <c r="AI648" s="65"/>
      <c r="AJ648" s="65"/>
    </row>
    <row r="649" spans="2:36" ht="14.25" customHeight="1" x14ac:dyDescent="0.3">
      <c r="B649" s="65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5"/>
      <c r="AG649" s="65"/>
      <c r="AH649" s="65"/>
      <c r="AI649" s="65"/>
      <c r="AJ649" s="65"/>
    </row>
    <row r="650" spans="2:36" ht="14.25" customHeight="1" x14ac:dyDescent="0.3">
      <c r="B650" s="65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5"/>
      <c r="AG650" s="65"/>
      <c r="AH650" s="65"/>
      <c r="AI650" s="65"/>
      <c r="AJ650" s="65"/>
    </row>
    <row r="651" spans="2:36" ht="14.25" customHeight="1" x14ac:dyDescent="0.3">
      <c r="B651" s="65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5"/>
      <c r="AG651" s="65"/>
      <c r="AH651" s="65"/>
      <c r="AI651" s="65"/>
      <c r="AJ651" s="65"/>
    </row>
    <row r="652" spans="2:36" ht="14.25" customHeight="1" x14ac:dyDescent="0.3">
      <c r="B652" s="65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5"/>
      <c r="AG652" s="65"/>
      <c r="AH652" s="65"/>
      <c r="AI652" s="65"/>
      <c r="AJ652" s="65"/>
    </row>
    <row r="653" spans="2:36" ht="14.25" customHeight="1" x14ac:dyDescent="0.3">
      <c r="B653" s="65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5"/>
      <c r="AG653" s="65"/>
      <c r="AH653" s="65"/>
      <c r="AI653" s="65"/>
      <c r="AJ653" s="65"/>
    </row>
    <row r="654" spans="2:36" ht="14.25" customHeight="1" x14ac:dyDescent="0.3">
      <c r="B654" s="65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5"/>
      <c r="AG654" s="65"/>
      <c r="AH654" s="65"/>
      <c r="AI654" s="65"/>
      <c r="AJ654" s="65"/>
    </row>
    <row r="655" spans="2:36" ht="14.25" customHeight="1" x14ac:dyDescent="0.3">
      <c r="B655" s="65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5"/>
      <c r="AG655" s="65"/>
      <c r="AH655" s="65"/>
      <c r="AI655" s="65"/>
      <c r="AJ655" s="65"/>
    </row>
    <row r="656" spans="2:36" ht="14.25" customHeight="1" x14ac:dyDescent="0.3">
      <c r="B656" s="65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5"/>
      <c r="AG656" s="65"/>
      <c r="AH656" s="65"/>
      <c r="AI656" s="65"/>
      <c r="AJ656" s="65"/>
    </row>
    <row r="657" spans="2:36" ht="14.25" customHeight="1" x14ac:dyDescent="0.3">
      <c r="B657" s="65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5"/>
      <c r="AG657" s="65"/>
      <c r="AH657" s="65"/>
      <c r="AI657" s="65"/>
      <c r="AJ657" s="65"/>
    </row>
    <row r="658" spans="2:36" ht="14.25" customHeight="1" x14ac:dyDescent="0.3">
      <c r="B658" s="65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5"/>
      <c r="AG658" s="65"/>
      <c r="AH658" s="65"/>
      <c r="AI658" s="65"/>
      <c r="AJ658" s="65"/>
    </row>
    <row r="659" spans="2:36" ht="14.25" customHeight="1" x14ac:dyDescent="0.3">
      <c r="B659" s="65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5"/>
      <c r="AG659" s="65"/>
      <c r="AH659" s="65"/>
      <c r="AI659" s="65"/>
      <c r="AJ659" s="65"/>
    </row>
    <row r="660" spans="2:36" ht="14.25" customHeight="1" x14ac:dyDescent="0.3">
      <c r="B660" s="65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5"/>
      <c r="AG660" s="65"/>
      <c r="AH660" s="65"/>
      <c r="AI660" s="65"/>
      <c r="AJ660" s="65"/>
    </row>
    <row r="661" spans="2:36" ht="14.25" customHeight="1" x14ac:dyDescent="0.3">
      <c r="B661" s="65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5"/>
      <c r="AG661" s="65"/>
      <c r="AH661" s="65"/>
      <c r="AI661" s="65"/>
      <c r="AJ661" s="65"/>
    </row>
    <row r="662" spans="2:36" ht="14.25" customHeight="1" x14ac:dyDescent="0.3">
      <c r="B662" s="65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5"/>
      <c r="AG662" s="65"/>
      <c r="AH662" s="65"/>
      <c r="AI662" s="65"/>
      <c r="AJ662" s="65"/>
    </row>
    <row r="663" spans="2:36" ht="14.25" customHeight="1" x14ac:dyDescent="0.3">
      <c r="B663" s="65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5"/>
      <c r="AG663" s="65"/>
      <c r="AH663" s="65"/>
      <c r="AI663" s="65"/>
      <c r="AJ663" s="65"/>
    </row>
    <row r="664" spans="2:36" ht="14.25" customHeight="1" x14ac:dyDescent="0.3">
      <c r="B664" s="65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5"/>
      <c r="AG664" s="65"/>
      <c r="AH664" s="65"/>
      <c r="AI664" s="65"/>
      <c r="AJ664" s="65"/>
    </row>
    <row r="665" spans="2:36" ht="14.25" customHeight="1" x14ac:dyDescent="0.3">
      <c r="B665" s="65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5"/>
      <c r="AG665" s="65"/>
      <c r="AH665" s="65"/>
      <c r="AI665" s="65"/>
      <c r="AJ665" s="65"/>
    </row>
    <row r="666" spans="2:36" ht="14.25" customHeight="1" x14ac:dyDescent="0.3">
      <c r="B666" s="65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5"/>
      <c r="AG666" s="65"/>
      <c r="AH666" s="65"/>
      <c r="AI666" s="65"/>
      <c r="AJ666" s="65"/>
    </row>
    <row r="667" spans="2:36" ht="14.25" customHeight="1" x14ac:dyDescent="0.3">
      <c r="B667" s="65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5"/>
      <c r="AG667" s="65"/>
      <c r="AH667" s="65"/>
      <c r="AI667" s="65"/>
      <c r="AJ667" s="65"/>
    </row>
    <row r="668" spans="2:36" ht="14.25" customHeight="1" x14ac:dyDescent="0.3">
      <c r="B668" s="65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5"/>
      <c r="AG668" s="65"/>
      <c r="AH668" s="65"/>
      <c r="AI668" s="65"/>
      <c r="AJ668" s="65"/>
    </row>
    <row r="669" spans="2:36" ht="14.25" customHeight="1" x14ac:dyDescent="0.3">
      <c r="B669" s="65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5"/>
      <c r="AG669" s="65"/>
      <c r="AH669" s="65"/>
      <c r="AI669" s="65"/>
      <c r="AJ669" s="65"/>
    </row>
    <row r="670" spans="2:36" ht="14.25" customHeight="1" x14ac:dyDescent="0.3">
      <c r="B670" s="65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5"/>
      <c r="AG670" s="65"/>
      <c r="AH670" s="65"/>
      <c r="AI670" s="65"/>
      <c r="AJ670" s="65"/>
    </row>
    <row r="671" spans="2:36" ht="14.25" customHeight="1" x14ac:dyDescent="0.3">
      <c r="B671" s="65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5"/>
      <c r="AG671" s="65"/>
      <c r="AH671" s="65"/>
      <c r="AI671" s="65"/>
      <c r="AJ671" s="65"/>
    </row>
    <row r="672" spans="2:36" ht="14.25" customHeight="1" x14ac:dyDescent="0.3">
      <c r="B672" s="65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5"/>
      <c r="AG672" s="65"/>
      <c r="AH672" s="65"/>
      <c r="AI672" s="65"/>
      <c r="AJ672" s="65"/>
    </row>
    <row r="673" spans="2:36" ht="14.25" customHeight="1" x14ac:dyDescent="0.3">
      <c r="B673" s="65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5"/>
      <c r="AG673" s="65"/>
      <c r="AH673" s="65"/>
      <c r="AI673" s="65"/>
      <c r="AJ673" s="65"/>
    </row>
    <row r="674" spans="2:36" ht="14.25" customHeight="1" x14ac:dyDescent="0.3">
      <c r="B674" s="65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5"/>
      <c r="AG674" s="65"/>
      <c r="AH674" s="65"/>
      <c r="AI674" s="65"/>
      <c r="AJ674" s="65"/>
    </row>
    <row r="675" spans="2:36" ht="14.25" customHeight="1" x14ac:dyDescent="0.3">
      <c r="B675" s="65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5"/>
      <c r="AG675" s="65"/>
      <c r="AH675" s="65"/>
      <c r="AI675" s="65"/>
      <c r="AJ675" s="65"/>
    </row>
    <row r="676" spans="2:36" ht="14.25" customHeight="1" x14ac:dyDescent="0.3">
      <c r="B676" s="65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5"/>
      <c r="AG676" s="65"/>
      <c r="AH676" s="65"/>
      <c r="AI676" s="65"/>
      <c r="AJ676" s="65"/>
    </row>
    <row r="677" spans="2:36" ht="14.25" customHeight="1" x14ac:dyDescent="0.3">
      <c r="B677" s="65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5"/>
      <c r="AG677" s="65"/>
      <c r="AH677" s="65"/>
      <c r="AI677" s="65"/>
      <c r="AJ677" s="65"/>
    </row>
    <row r="678" spans="2:36" ht="14.25" customHeight="1" x14ac:dyDescent="0.3">
      <c r="B678" s="65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5"/>
      <c r="AG678" s="65"/>
      <c r="AH678" s="65"/>
      <c r="AI678" s="65"/>
      <c r="AJ678" s="65"/>
    </row>
    <row r="679" spans="2:36" ht="14.25" customHeight="1" x14ac:dyDescent="0.3">
      <c r="B679" s="65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5"/>
      <c r="AG679" s="65"/>
      <c r="AH679" s="65"/>
      <c r="AI679" s="65"/>
      <c r="AJ679" s="65"/>
    </row>
    <row r="680" spans="2:36" ht="14.25" customHeight="1" x14ac:dyDescent="0.3">
      <c r="B680" s="65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5"/>
      <c r="AG680" s="65"/>
      <c r="AH680" s="65"/>
      <c r="AI680" s="65"/>
      <c r="AJ680" s="65"/>
    </row>
    <row r="681" spans="2:36" ht="14.25" customHeight="1" x14ac:dyDescent="0.3">
      <c r="B681" s="65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5"/>
      <c r="AG681" s="65"/>
      <c r="AH681" s="65"/>
      <c r="AI681" s="65"/>
      <c r="AJ681" s="65"/>
    </row>
    <row r="682" spans="2:36" ht="14.25" customHeight="1" x14ac:dyDescent="0.3">
      <c r="B682" s="65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5"/>
      <c r="AG682" s="65"/>
      <c r="AH682" s="65"/>
      <c r="AI682" s="65"/>
      <c r="AJ682" s="65"/>
    </row>
    <row r="683" spans="2:36" ht="14.25" customHeight="1" x14ac:dyDescent="0.3">
      <c r="B683" s="65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5"/>
      <c r="AG683" s="65"/>
      <c r="AH683" s="65"/>
      <c r="AI683" s="65"/>
      <c r="AJ683" s="65"/>
    </row>
    <row r="684" spans="2:36" ht="14.25" customHeight="1" x14ac:dyDescent="0.3">
      <c r="B684" s="65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5"/>
      <c r="AG684" s="65"/>
      <c r="AH684" s="65"/>
      <c r="AI684" s="65"/>
      <c r="AJ684" s="65"/>
    </row>
    <row r="685" spans="2:36" ht="14.25" customHeight="1" x14ac:dyDescent="0.3">
      <c r="B685" s="65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5"/>
      <c r="AG685" s="65"/>
      <c r="AH685" s="65"/>
      <c r="AI685" s="65"/>
      <c r="AJ685" s="65"/>
    </row>
    <row r="686" spans="2:36" ht="14.25" customHeight="1" x14ac:dyDescent="0.3">
      <c r="B686" s="65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5"/>
      <c r="AG686" s="65"/>
      <c r="AH686" s="65"/>
      <c r="AI686" s="65"/>
      <c r="AJ686" s="65"/>
    </row>
    <row r="687" spans="2:36" ht="14.25" customHeight="1" x14ac:dyDescent="0.3">
      <c r="B687" s="65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5"/>
      <c r="AG687" s="65"/>
      <c r="AH687" s="65"/>
      <c r="AI687" s="65"/>
      <c r="AJ687" s="65"/>
    </row>
    <row r="688" spans="2:36" ht="14.25" customHeight="1" x14ac:dyDescent="0.3">
      <c r="B688" s="65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5"/>
      <c r="AG688" s="65"/>
      <c r="AH688" s="65"/>
      <c r="AI688" s="65"/>
      <c r="AJ688" s="65"/>
    </row>
    <row r="689" spans="2:36" ht="14.25" customHeight="1" x14ac:dyDescent="0.3">
      <c r="B689" s="65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5"/>
      <c r="AG689" s="65"/>
      <c r="AH689" s="65"/>
      <c r="AI689" s="65"/>
      <c r="AJ689" s="65"/>
    </row>
    <row r="690" spans="2:36" ht="14.25" customHeight="1" x14ac:dyDescent="0.3">
      <c r="B690" s="65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5"/>
      <c r="AG690" s="65"/>
      <c r="AH690" s="65"/>
      <c r="AI690" s="65"/>
      <c r="AJ690" s="65"/>
    </row>
    <row r="691" spans="2:36" ht="14.25" customHeight="1" x14ac:dyDescent="0.3">
      <c r="B691" s="65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5"/>
      <c r="AG691" s="65"/>
      <c r="AH691" s="65"/>
      <c r="AI691" s="65"/>
      <c r="AJ691" s="65"/>
    </row>
    <row r="692" spans="2:36" ht="14.25" customHeight="1" x14ac:dyDescent="0.3">
      <c r="B692" s="65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5"/>
      <c r="AG692" s="65"/>
      <c r="AH692" s="65"/>
      <c r="AI692" s="65"/>
      <c r="AJ692" s="65"/>
    </row>
    <row r="693" spans="2:36" ht="14.25" customHeight="1" x14ac:dyDescent="0.3">
      <c r="B693" s="65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5"/>
      <c r="AG693" s="65"/>
      <c r="AH693" s="65"/>
      <c r="AI693" s="65"/>
      <c r="AJ693" s="65"/>
    </row>
    <row r="694" spans="2:36" ht="14.25" customHeight="1" x14ac:dyDescent="0.3">
      <c r="B694" s="65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5"/>
      <c r="AG694" s="65"/>
      <c r="AH694" s="65"/>
      <c r="AI694" s="65"/>
      <c r="AJ694" s="65"/>
    </row>
    <row r="695" spans="2:36" ht="14.25" customHeight="1" x14ac:dyDescent="0.3">
      <c r="B695" s="65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5"/>
      <c r="AG695" s="65"/>
      <c r="AH695" s="65"/>
      <c r="AI695" s="65"/>
      <c r="AJ695" s="65"/>
    </row>
    <row r="696" spans="2:36" ht="14.25" customHeight="1" x14ac:dyDescent="0.3">
      <c r="B696" s="65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5"/>
      <c r="AG696" s="65"/>
      <c r="AH696" s="65"/>
      <c r="AI696" s="65"/>
      <c r="AJ696" s="65"/>
    </row>
    <row r="697" spans="2:36" ht="14.25" customHeight="1" x14ac:dyDescent="0.3">
      <c r="B697" s="65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5"/>
      <c r="AG697" s="65"/>
      <c r="AH697" s="65"/>
      <c r="AI697" s="65"/>
      <c r="AJ697" s="65"/>
    </row>
    <row r="698" spans="2:36" ht="14.25" customHeight="1" x14ac:dyDescent="0.3">
      <c r="B698" s="65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5"/>
      <c r="AG698" s="65"/>
      <c r="AH698" s="65"/>
      <c r="AI698" s="65"/>
      <c r="AJ698" s="65"/>
    </row>
    <row r="699" spans="2:36" ht="14.25" customHeight="1" x14ac:dyDescent="0.3">
      <c r="B699" s="65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5"/>
      <c r="AG699" s="65"/>
      <c r="AH699" s="65"/>
      <c r="AI699" s="65"/>
      <c r="AJ699" s="65"/>
    </row>
    <row r="700" spans="2:36" ht="14.25" customHeight="1" x14ac:dyDescent="0.3">
      <c r="B700" s="65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5"/>
      <c r="AG700" s="65"/>
      <c r="AH700" s="65"/>
      <c r="AI700" s="65"/>
      <c r="AJ700" s="65"/>
    </row>
    <row r="701" spans="2:36" ht="14.25" customHeight="1" x14ac:dyDescent="0.3">
      <c r="B701" s="65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5"/>
      <c r="AG701" s="65"/>
      <c r="AH701" s="65"/>
      <c r="AI701" s="65"/>
      <c r="AJ701" s="65"/>
    </row>
    <row r="702" spans="2:36" ht="14.25" customHeight="1" x14ac:dyDescent="0.3">
      <c r="B702" s="65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5"/>
      <c r="AG702" s="65"/>
      <c r="AH702" s="65"/>
      <c r="AI702" s="65"/>
      <c r="AJ702" s="65"/>
    </row>
    <row r="703" spans="2:36" ht="14.25" customHeight="1" x14ac:dyDescent="0.3">
      <c r="B703" s="65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5"/>
      <c r="AG703" s="65"/>
      <c r="AH703" s="65"/>
      <c r="AI703" s="65"/>
      <c r="AJ703" s="65"/>
    </row>
    <row r="704" spans="2:36" ht="14.25" customHeight="1" x14ac:dyDescent="0.3">
      <c r="B704" s="65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5"/>
      <c r="AG704" s="65"/>
      <c r="AH704" s="65"/>
      <c r="AI704" s="65"/>
      <c r="AJ704" s="65"/>
    </row>
    <row r="705" spans="2:36" ht="14.25" customHeight="1" x14ac:dyDescent="0.3">
      <c r="B705" s="65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5"/>
      <c r="AG705" s="65"/>
      <c r="AH705" s="65"/>
      <c r="AI705" s="65"/>
      <c r="AJ705" s="65"/>
    </row>
    <row r="706" spans="2:36" ht="14.25" customHeight="1" x14ac:dyDescent="0.3">
      <c r="B706" s="65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5"/>
      <c r="AG706" s="65"/>
      <c r="AH706" s="65"/>
      <c r="AI706" s="65"/>
      <c r="AJ706" s="65"/>
    </row>
    <row r="707" spans="2:36" ht="14.25" customHeight="1" x14ac:dyDescent="0.3">
      <c r="B707" s="65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5"/>
      <c r="AG707" s="65"/>
      <c r="AH707" s="65"/>
      <c r="AI707" s="65"/>
      <c r="AJ707" s="65"/>
    </row>
    <row r="708" spans="2:36" ht="14.25" customHeight="1" x14ac:dyDescent="0.3">
      <c r="B708" s="65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5"/>
      <c r="AG708" s="65"/>
      <c r="AH708" s="65"/>
      <c r="AI708" s="65"/>
      <c r="AJ708" s="65"/>
    </row>
    <row r="709" spans="2:36" ht="14.25" customHeight="1" x14ac:dyDescent="0.3">
      <c r="B709" s="65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5"/>
      <c r="AG709" s="65"/>
      <c r="AH709" s="65"/>
      <c r="AI709" s="65"/>
      <c r="AJ709" s="65"/>
    </row>
    <row r="710" spans="2:36" ht="14.25" customHeight="1" x14ac:dyDescent="0.3">
      <c r="B710" s="65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5"/>
      <c r="AG710" s="65"/>
      <c r="AH710" s="65"/>
      <c r="AI710" s="65"/>
      <c r="AJ710" s="65"/>
    </row>
    <row r="711" spans="2:36" ht="14.25" customHeight="1" x14ac:dyDescent="0.3">
      <c r="B711" s="65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5"/>
      <c r="AG711" s="65"/>
      <c r="AH711" s="65"/>
      <c r="AI711" s="65"/>
      <c r="AJ711" s="65"/>
    </row>
    <row r="712" spans="2:36" ht="14.25" customHeight="1" x14ac:dyDescent="0.3">
      <c r="B712" s="65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5"/>
      <c r="AG712" s="65"/>
      <c r="AH712" s="65"/>
      <c r="AI712" s="65"/>
      <c r="AJ712" s="65"/>
    </row>
    <row r="713" spans="2:36" ht="14.25" customHeight="1" x14ac:dyDescent="0.3">
      <c r="B713" s="65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5"/>
      <c r="AG713" s="65"/>
      <c r="AH713" s="65"/>
      <c r="AI713" s="65"/>
      <c r="AJ713" s="65"/>
    </row>
    <row r="714" spans="2:36" ht="14.25" customHeight="1" x14ac:dyDescent="0.3">
      <c r="B714" s="65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5"/>
      <c r="AG714" s="65"/>
      <c r="AH714" s="65"/>
      <c r="AI714" s="65"/>
      <c r="AJ714" s="65"/>
    </row>
    <row r="715" spans="2:36" ht="14.25" customHeight="1" x14ac:dyDescent="0.3">
      <c r="B715" s="65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5"/>
      <c r="AG715" s="65"/>
      <c r="AH715" s="65"/>
      <c r="AI715" s="65"/>
      <c r="AJ715" s="65"/>
    </row>
    <row r="716" spans="2:36" ht="14.25" customHeight="1" x14ac:dyDescent="0.3">
      <c r="B716" s="65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5"/>
      <c r="AG716" s="65"/>
      <c r="AH716" s="65"/>
      <c r="AI716" s="65"/>
      <c r="AJ716" s="65"/>
    </row>
    <row r="717" spans="2:36" ht="14.25" customHeight="1" x14ac:dyDescent="0.3">
      <c r="B717" s="65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5"/>
      <c r="AG717" s="65"/>
      <c r="AH717" s="65"/>
      <c r="AI717" s="65"/>
      <c r="AJ717" s="65"/>
    </row>
    <row r="718" spans="2:36" ht="14.25" customHeight="1" x14ac:dyDescent="0.3">
      <c r="B718" s="65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5"/>
      <c r="AG718" s="65"/>
      <c r="AH718" s="65"/>
      <c r="AI718" s="65"/>
      <c r="AJ718" s="65"/>
    </row>
    <row r="719" spans="2:36" ht="14.25" customHeight="1" x14ac:dyDescent="0.3">
      <c r="B719" s="65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5"/>
      <c r="AG719" s="65"/>
      <c r="AH719" s="65"/>
      <c r="AI719" s="65"/>
      <c r="AJ719" s="65"/>
    </row>
    <row r="720" spans="2:36" ht="14.25" customHeight="1" x14ac:dyDescent="0.3">
      <c r="B720" s="65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5"/>
      <c r="AG720" s="65"/>
      <c r="AH720" s="65"/>
      <c r="AI720" s="65"/>
      <c r="AJ720" s="65"/>
    </row>
    <row r="721" spans="2:36" ht="14.25" customHeight="1" x14ac:dyDescent="0.3">
      <c r="B721" s="65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5"/>
      <c r="AG721" s="65"/>
      <c r="AH721" s="65"/>
      <c r="AI721" s="65"/>
      <c r="AJ721" s="65"/>
    </row>
    <row r="722" spans="2:36" ht="14.25" customHeight="1" x14ac:dyDescent="0.3">
      <c r="B722" s="65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5"/>
      <c r="AG722" s="65"/>
      <c r="AH722" s="65"/>
      <c r="AI722" s="65"/>
      <c r="AJ722" s="65"/>
    </row>
    <row r="723" spans="2:36" ht="14.25" customHeight="1" x14ac:dyDescent="0.3">
      <c r="B723" s="65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5"/>
      <c r="AG723" s="65"/>
      <c r="AH723" s="65"/>
      <c r="AI723" s="65"/>
      <c r="AJ723" s="65"/>
    </row>
    <row r="724" spans="2:36" ht="14.25" customHeight="1" x14ac:dyDescent="0.3">
      <c r="B724" s="65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5"/>
      <c r="AG724" s="65"/>
      <c r="AH724" s="65"/>
      <c r="AI724" s="65"/>
      <c r="AJ724" s="65"/>
    </row>
    <row r="725" spans="2:36" ht="14.25" customHeight="1" x14ac:dyDescent="0.3">
      <c r="B725" s="65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5"/>
      <c r="AG725" s="65"/>
      <c r="AH725" s="65"/>
      <c r="AI725" s="65"/>
      <c r="AJ725" s="65"/>
    </row>
    <row r="726" spans="2:36" ht="14.25" customHeight="1" x14ac:dyDescent="0.3">
      <c r="B726" s="65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5"/>
      <c r="AG726" s="65"/>
      <c r="AH726" s="65"/>
      <c r="AI726" s="65"/>
      <c r="AJ726" s="65"/>
    </row>
    <row r="727" spans="2:36" ht="14.25" customHeight="1" x14ac:dyDescent="0.3">
      <c r="B727" s="65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5"/>
      <c r="AG727" s="65"/>
      <c r="AH727" s="65"/>
      <c r="AI727" s="65"/>
      <c r="AJ727" s="65"/>
    </row>
    <row r="728" spans="2:36" ht="14.25" customHeight="1" x14ac:dyDescent="0.3">
      <c r="B728" s="65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5"/>
      <c r="AG728" s="65"/>
      <c r="AH728" s="65"/>
      <c r="AI728" s="65"/>
      <c r="AJ728" s="65"/>
    </row>
    <row r="729" spans="2:36" ht="14.25" customHeight="1" x14ac:dyDescent="0.3">
      <c r="B729" s="65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5"/>
      <c r="AG729" s="65"/>
      <c r="AH729" s="65"/>
      <c r="AI729" s="65"/>
      <c r="AJ729" s="65"/>
    </row>
    <row r="730" spans="2:36" ht="14.25" customHeight="1" x14ac:dyDescent="0.3">
      <c r="B730" s="65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5"/>
      <c r="AG730" s="65"/>
      <c r="AH730" s="65"/>
      <c r="AI730" s="65"/>
      <c r="AJ730" s="65"/>
    </row>
    <row r="731" spans="2:36" ht="14.25" customHeight="1" x14ac:dyDescent="0.3">
      <c r="B731" s="65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5"/>
      <c r="AG731" s="65"/>
      <c r="AH731" s="65"/>
      <c r="AI731" s="65"/>
      <c r="AJ731" s="65"/>
    </row>
    <row r="732" spans="2:36" ht="14.25" customHeight="1" x14ac:dyDescent="0.3">
      <c r="B732" s="65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5"/>
      <c r="AG732" s="65"/>
      <c r="AH732" s="65"/>
      <c r="AI732" s="65"/>
      <c r="AJ732" s="65"/>
    </row>
    <row r="733" spans="2:36" ht="14.25" customHeight="1" x14ac:dyDescent="0.3">
      <c r="B733" s="65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5"/>
      <c r="AG733" s="65"/>
      <c r="AH733" s="65"/>
      <c r="AI733" s="65"/>
      <c r="AJ733" s="65"/>
    </row>
    <row r="734" spans="2:36" ht="14.25" customHeight="1" x14ac:dyDescent="0.3">
      <c r="B734" s="65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5"/>
      <c r="AG734" s="65"/>
      <c r="AH734" s="65"/>
      <c r="AI734" s="65"/>
      <c r="AJ734" s="65"/>
    </row>
    <row r="735" spans="2:36" ht="14.25" customHeight="1" x14ac:dyDescent="0.3">
      <c r="B735" s="65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5"/>
      <c r="AG735" s="65"/>
      <c r="AH735" s="65"/>
      <c r="AI735" s="65"/>
      <c r="AJ735" s="65"/>
    </row>
    <row r="736" spans="2:36" ht="14.25" customHeight="1" x14ac:dyDescent="0.3">
      <c r="B736" s="65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5"/>
      <c r="AG736" s="65"/>
      <c r="AH736" s="65"/>
      <c r="AI736" s="65"/>
      <c r="AJ736" s="65"/>
    </row>
    <row r="737" spans="2:36" ht="14.25" customHeight="1" x14ac:dyDescent="0.3">
      <c r="B737" s="65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5"/>
      <c r="AG737" s="65"/>
      <c r="AH737" s="65"/>
      <c r="AI737" s="65"/>
      <c r="AJ737" s="65"/>
    </row>
    <row r="738" spans="2:36" ht="14.25" customHeight="1" x14ac:dyDescent="0.3">
      <c r="B738" s="65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5"/>
      <c r="AG738" s="65"/>
      <c r="AH738" s="65"/>
      <c r="AI738" s="65"/>
      <c r="AJ738" s="65"/>
    </row>
    <row r="739" spans="2:36" ht="14.25" customHeight="1" x14ac:dyDescent="0.3">
      <c r="B739" s="65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5"/>
      <c r="AG739" s="65"/>
      <c r="AH739" s="65"/>
      <c r="AI739" s="65"/>
      <c r="AJ739" s="65"/>
    </row>
    <row r="740" spans="2:36" ht="14.25" customHeight="1" x14ac:dyDescent="0.3">
      <c r="B740" s="65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5"/>
      <c r="AG740" s="65"/>
      <c r="AH740" s="65"/>
      <c r="AI740" s="65"/>
      <c r="AJ740" s="65"/>
    </row>
    <row r="741" spans="2:36" ht="14.25" customHeight="1" x14ac:dyDescent="0.3">
      <c r="B741" s="65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5"/>
      <c r="AG741" s="65"/>
      <c r="AH741" s="65"/>
      <c r="AI741" s="65"/>
      <c r="AJ741" s="65"/>
    </row>
    <row r="742" spans="2:36" ht="14.25" customHeight="1" x14ac:dyDescent="0.3">
      <c r="B742" s="65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5"/>
      <c r="AG742" s="65"/>
      <c r="AH742" s="65"/>
      <c r="AI742" s="65"/>
      <c r="AJ742" s="65"/>
    </row>
    <row r="743" spans="2:36" ht="14.25" customHeight="1" x14ac:dyDescent="0.3">
      <c r="B743" s="65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5"/>
      <c r="AG743" s="65"/>
      <c r="AH743" s="65"/>
      <c r="AI743" s="65"/>
      <c r="AJ743" s="65"/>
    </row>
    <row r="744" spans="2:36" ht="14.25" customHeight="1" x14ac:dyDescent="0.3">
      <c r="B744" s="65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5"/>
      <c r="AG744" s="65"/>
      <c r="AH744" s="65"/>
      <c r="AI744" s="65"/>
      <c r="AJ744" s="65"/>
    </row>
    <row r="745" spans="2:36" ht="14.25" customHeight="1" x14ac:dyDescent="0.3">
      <c r="B745" s="65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5"/>
      <c r="AG745" s="65"/>
      <c r="AH745" s="65"/>
      <c r="AI745" s="65"/>
      <c r="AJ745" s="65"/>
    </row>
    <row r="746" spans="2:36" ht="14.25" customHeight="1" x14ac:dyDescent="0.3">
      <c r="B746" s="65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5"/>
      <c r="AG746" s="65"/>
      <c r="AH746" s="65"/>
      <c r="AI746" s="65"/>
      <c r="AJ746" s="65"/>
    </row>
    <row r="747" spans="2:36" ht="14.25" customHeight="1" x14ac:dyDescent="0.3">
      <c r="B747" s="65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5"/>
      <c r="AG747" s="65"/>
      <c r="AH747" s="65"/>
      <c r="AI747" s="65"/>
      <c r="AJ747" s="65"/>
    </row>
    <row r="748" spans="2:36" ht="14.25" customHeight="1" x14ac:dyDescent="0.3">
      <c r="B748" s="65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5"/>
      <c r="AG748" s="65"/>
      <c r="AH748" s="65"/>
      <c r="AI748" s="65"/>
      <c r="AJ748" s="65"/>
    </row>
    <row r="749" spans="2:36" ht="14.25" customHeight="1" x14ac:dyDescent="0.3">
      <c r="B749" s="65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5"/>
      <c r="AG749" s="65"/>
      <c r="AH749" s="65"/>
      <c r="AI749" s="65"/>
      <c r="AJ749" s="65"/>
    </row>
    <row r="750" spans="2:36" ht="14.25" customHeight="1" x14ac:dyDescent="0.3">
      <c r="B750" s="65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5"/>
      <c r="AG750" s="65"/>
      <c r="AH750" s="65"/>
      <c r="AI750" s="65"/>
      <c r="AJ750" s="65"/>
    </row>
    <row r="751" spans="2:36" ht="14.25" customHeight="1" x14ac:dyDescent="0.3">
      <c r="B751" s="65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5"/>
      <c r="AG751" s="65"/>
      <c r="AH751" s="65"/>
      <c r="AI751" s="65"/>
      <c r="AJ751" s="65"/>
    </row>
    <row r="752" spans="2:36" ht="14.25" customHeight="1" x14ac:dyDescent="0.3">
      <c r="B752" s="65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5"/>
      <c r="AG752" s="65"/>
      <c r="AH752" s="65"/>
      <c r="AI752" s="65"/>
      <c r="AJ752" s="65"/>
    </row>
    <row r="753" spans="2:36" ht="14.25" customHeight="1" x14ac:dyDescent="0.3">
      <c r="B753" s="65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5"/>
      <c r="AG753" s="65"/>
      <c r="AH753" s="65"/>
      <c r="AI753" s="65"/>
      <c r="AJ753" s="65"/>
    </row>
    <row r="754" spans="2:36" ht="14.25" customHeight="1" x14ac:dyDescent="0.3">
      <c r="B754" s="65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5"/>
      <c r="AG754" s="65"/>
      <c r="AH754" s="65"/>
      <c r="AI754" s="65"/>
      <c r="AJ754" s="65"/>
    </row>
    <row r="755" spans="2:36" ht="14.25" customHeight="1" x14ac:dyDescent="0.3">
      <c r="B755" s="65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5"/>
      <c r="AG755" s="65"/>
      <c r="AH755" s="65"/>
      <c r="AI755" s="65"/>
      <c r="AJ755" s="65"/>
    </row>
    <row r="756" spans="2:36" ht="14.25" customHeight="1" x14ac:dyDescent="0.3">
      <c r="B756" s="65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5"/>
      <c r="AG756" s="65"/>
      <c r="AH756" s="65"/>
      <c r="AI756" s="65"/>
      <c r="AJ756" s="65"/>
    </row>
    <row r="757" spans="2:36" ht="14.25" customHeight="1" x14ac:dyDescent="0.3">
      <c r="B757" s="65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5"/>
      <c r="AG757" s="65"/>
      <c r="AH757" s="65"/>
      <c r="AI757" s="65"/>
      <c r="AJ757" s="65"/>
    </row>
    <row r="758" spans="2:36" ht="14.25" customHeight="1" x14ac:dyDescent="0.3">
      <c r="B758" s="65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5"/>
      <c r="AG758" s="65"/>
      <c r="AH758" s="65"/>
      <c r="AI758" s="65"/>
      <c r="AJ758" s="65"/>
    </row>
    <row r="759" spans="2:36" ht="14.25" customHeight="1" x14ac:dyDescent="0.3">
      <c r="B759" s="65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5"/>
      <c r="AG759" s="65"/>
      <c r="AH759" s="65"/>
      <c r="AI759" s="65"/>
      <c r="AJ759" s="65"/>
    </row>
    <row r="760" spans="2:36" ht="14.25" customHeight="1" x14ac:dyDescent="0.3">
      <c r="B760" s="65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5"/>
      <c r="AG760" s="65"/>
      <c r="AH760" s="65"/>
      <c r="AI760" s="65"/>
      <c r="AJ760" s="65"/>
    </row>
    <row r="761" spans="2:36" ht="14.25" customHeight="1" x14ac:dyDescent="0.3">
      <c r="B761" s="65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5"/>
      <c r="AG761" s="65"/>
      <c r="AH761" s="65"/>
      <c r="AI761" s="65"/>
      <c r="AJ761" s="65"/>
    </row>
    <row r="762" spans="2:36" ht="14.25" customHeight="1" x14ac:dyDescent="0.3">
      <c r="B762" s="65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5"/>
      <c r="AG762" s="65"/>
      <c r="AH762" s="65"/>
      <c r="AI762" s="65"/>
      <c r="AJ762" s="65"/>
    </row>
    <row r="763" spans="2:36" ht="14.25" customHeight="1" x14ac:dyDescent="0.3">
      <c r="B763" s="65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5"/>
      <c r="AG763" s="65"/>
      <c r="AH763" s="65"/>
      <c r="AI763" s="65"/>
      <c r="AJ763" s="65"/>
    </row>
    <row r="764" spans="2:36" ht="14.25" customHeight="1" x14ac:dyDescent="0.3">
      <c r="B764" s="65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5"/>
      <c r="AG764" s="65"/>
      <c r="AH764" s="65"/>
      <c r="AI764" s="65"/>
      <c r="AJ764" s="65"/>
    </row>
    <row r="765" spans="2:36" ht="14.25" customHeight="1" x14ac:dyDescent="0.3">
      <c r="B765" s="65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5"/>
      <c r="AG765" s="65"/>
      <c r="AH765" s="65"/>
      <c r="AI765" s="65"/>
      <c r="AJ765" s="65"/>
    </row>
    <row r="766" spans="2:36" ht="14.25" customHeight="1" x14ac:dyDescent="0.3">
      <c r="B766" s="65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5"/>
      <c r="AG766" s="65"/>
      <c r="AH766" s="65"/>
      <c r="AI766" s="65"/>
      <c r="AJ766" s="65"/>
    </row>
    <row r="767" spans="2:36" ht="14.25" customHeight="1" x14ac:dyDescent="0.3">
      <c r="B767" s="65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5"/>
      <c r="AG767" s="65"/>
      <c r="AH767" s="65"/>
      <c r="AI767" s="65"/>
      <c r="AJ767" s="65"/>
    </row>
    <row r="768" spans="2:36" ht="14.25" customHeight="1" x14ac:dyDescent="0.3">
      <c r="B768" s="65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5"/>
      <c r="AG768" s="65"/>
      <c r="AH768" s="65"/>
      <c r="AI768" s="65"/>
      <c r="AJ768" s="65"/>
    </row>
    <row r="769" spans="2:36" ht="14.25" customHeight="1" x14ac:dyDescent="0.3">
      <c r="B769" s="65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5"/>
      <c r="AG769" s="65"/>
      <c r="AH769" s="65"/>
      <c r="AI769" s="65"/>
      <c r="AJ769" s="65"/>
    </row>
    <row r="770" spans="2:36" ht="14.25" customHeight="1" x14ac:dyDescent="0.3">
      <c r="B770" s="65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5"/>
      <c r="AG770" s="65"/>
      <c r="AH770" s="65"/>
      <c r="AI770" s="65"/>
      <c r="AJ770" s="65"/>
    </row>
    <row r="771" spans="2:36" ht="14.25" customHeight="1" x14ac:dyDescent="0.3">
      <c r="B771" s="65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5"/>
      <c r="AG771" s="65"/>
      <c r="AH771" s="65"/>
      <c r="AI771" s="65"/>
      <c r="AJ771" s="65"/>
    </row>
    <row r="772" spans="2:36" ht="14.25" customHeight="1" x14ac:dyDescent="0.3">
      <c r="B772" s="65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5"/>
      <c r="AG772" s="65"/>
      <c r="AH772" s="65"/>
      <c r="AI772" s="65"/>
      <c r="AJ772" s="65"/>
    </row>
    <row r="773" spans="2:36" ht="14.25" customHeight="1" x14ac:dyDescent="0.3">
      <c r="B773" s="65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5"/>
      <c r="AG773" s="65"/>
      <c r="AH773" s="65"/>
      <c r="AI773" s="65"/>
      <c r="AJ773" s="65"/>
    </row>
    <row r="774" spans="2:36" ht="14.25" customHeight="1" x14ac:dyDescent="0.3">
      <c r="B774" s="65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5"/>
      <c r="AG774" s="65"/>
      <c r="AH774" s="65"/>
      <c r="AI774" s="65"/>
      <c r="AJ774" s="65"/>
    </row>
    <row r="775" spans="2:36" ht="14.25" customHeight="1" x14ac:dyDescent="0.3">
      <c r="B775" s="65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5"/>
      <c r="AG775" s="65"/>
      <c r="AH775" s="65"/>
      <c r="AI775" s="65"/>
      <c r="AJ775" s="65"/>
    </row>
    <row r="776" spans="2:36" ht="14.25" customHeight="1" x14ac:dyDescent="0.3">
      <c r="B776" s="65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5"/>
      <c r="AG776" s="65"/>
      <c r="AH776" s="65"/>
      <c r="AI776" s="65"/>
      <c r="AJ776" s="65"/>
    </row>
    <row r="777" spans="2:36" ht="14.25" customHeight="1" x14ac:dyDescent="0.3">
      <c r="B777" s="65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5"/>
      <c r="AG777" s="65"/>
      <c r="AH777" s="65"/>
      <c r="AI777" s="65"/>
      <c r="AJ777" s="65"/>
    </row>
    <row r="778" spans="2:36" ht="14.25" customHeight="1" x14ac:dyDescent="0.3">
      <c r="B778" s="65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5"/>
      <c r="AG778" s="65"/>
      <c r="AH778" s="65"/>
      <c r="AI778" s="65"/>
      <c r="AJ778" s="65"/>
    </row>
    <row r="779" spans="2:36" ht="14.25" customHeight="1" x14ac:dyDescent="0.3">
      <c r="B779" s="65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5"/>
      <c r="AG779" s="65"/>
      <c r="AH779" s="65"/>
      <c r="AI779" s="65"/>
      <c r="AJ779" s="65"/>
    </row>
    <row r="780" spans="2:36" ht="14.25" customHeight="1" x14ac:dyDescent="0.3">
      <c r="B780" s="65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5"/>
      <c r="AG780" s="65"/>
      <c r="AH780" s="65"/>
      <c r="AI780" s="65"/>
      <c r="AJ780" s="65"/>
    </row>
    <row r="781" spans="2:36" ht="14.25" customHeight="1" x14ac:dyDescent="0.3">
      <c r="B781" s="65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5"/>
      <c r="AG781" s="65"/>
      <c r="AH781" s="65"/>
      <c r="AI781" s="65"/>
      <c r="AJ781" s="65"/>
    </row>
    <row r="782" spans="2:36" ht="14.25" customHeight="1" x14ac:dyDescent="0.3">
      <c r="B782" s="65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5"/>
      <c r="AG782" s="65"/>
      <c r="AH782" s="65"/>
      <c r="AI782" s="65"/>
      <c r="AJ782" s="65"/>
    </row>
    <row r="783" spans="2:36" ht="14.25" customHeight="1" x14ac:dyDescent="0.3">
      <c r="B783" s="65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5"/>
      <c r="AG783" s="65"/>
      <c r="AH783" s="65"/>
      <c r="AI783" s="65"/>
      <c r="AJ783" s="65"/>
    </row>
    <row r="784" spans="2:36" ht="14.25" customHeight="1" x14ac:dyDescent="0.3">
      <c r="B784" s="65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5"/>
      <c r="AG784" s="65"/>
      <c r="AH784" s="65"/>
      <c r="AI784" s="65"/>
      <c r="AJ784" s="65"/>
    </row>
    <row r="785" spans="2:36" ht="14.25" customHeight="1" x14ac:dyDescent="0.3">
      <c r="B785" s="65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5"/>
      <c r="AG785" s="65"/>
      <c r="AH785" s="65"/>
      <c r="AI785" s="65"/>
      <c r="AJ785" s="65"/>
    </row>
    <row r="786" spans="2:36" ht="14.25" customHeight="1" x14ac:dyDescent="0.3">
      <c r="B786" s="65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5"/>
      <c r="AG786" s="65"/>
      <c r="AH786" s="65"/>
      <c r="AI786" s="65"/>
      <c r="AJ786" s="65"/>
    </row>
    <row r="787" spans="2:36" ht="14.25" customHeight="1" x14ac:dyDescent="0.3">
      <c r="B787" s="65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5"/>
      <c r="AG787" s="65"/>
      <c r="AH787" s="65"/>
      <c r="AI787" s="65"/>
      <c r="AJ787" s="65"/>
    </row>
    <row r="788" spans="2:36" ht="14.25" customHeight="1" x14ac:dyDescent="0.3">
      <c r="B788" s="65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5"/>
      <c r="AG788" s="65"/>
      <c r="AH788" s="65"/>
      <c r="AI788" s="65"/>
      <c r="AJ788" s="65"/>
    </row>
    <row r="789" spans="2:36" ht="14.25" customHeight="1" x14ac:dyDescent="0.3">
      <c r="B789" s="65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5"/>
      <c r="AG789" s="65"/>
      <c r="AH789" s="65"/>
      <c r="AI789" s="65"/>
      <c r="AJ789" s="65"/>
    </row>
    <row r="790" spans="2:36" ht="14.25" customHeight="1" x14ac:dyDescent="0.3">
      <c r="B790" s="65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5"/>
      <c r="AG790" s="65"/>
      <c r="AH790" s="65"/>
      <c r="AI790" s="65"/>
      <c r="AJ790" s="65"/>
    </row>
    <row r="791" spans="2:36" ht="14.25" customHeight="1" x14ac:dyDescent="0.3">
      <c r="B791" s="65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5"/>
      <c r="AG791" s="65"/>
      <c r="AH791" s="65"/>
      <c r="AI791" s="65"/>
      <c r="AJ791" s="65"/>
    </row>
    <row r="792" spans="2:36" ht="14.25" customHeight="1" x14ac:dyDescent="0.3">
      <c r="B792" s="65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5"/>
      <c r="AG792" s="65"/>
      <c r="AH792" s="65"/>
      <c r="AI792" s="65"/>
      <c r="AJ792" s="65"/>
    </row>
    <row r="793" spans="2:36" ht="14.25" customHeight="1" x14ac:dyDescent="0.3">
      <c r="B793" s="65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5"/>
      <c r="AG793" s="65"/>
      <c r="AH793" s="65"/>
      <c r="AI793" s="65"/>
      <c r="AJ793" s="65"/>
    </row>
    <row r="794" spans="2:36" ht="14.25" customHeight="1" x14ac:dyDescent="0.3">
      <c r="B794" s="65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5"/>
      <c r="AG794" s="65"/>
      <c r="AH794" s="65"/>
      <c r="AI794" s="65"/>
      <c r="AJ794" s="65"/>
    </row>
    <row r="795" spans="2:36" ht="14.25" customHeight="1" x14ac:dyDescent="0.3">
      <c r="B795" s="65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5"/>
      <c r="AG795" s="65"/>
      <c r="AH795" s="65"/>
      <c r="AI795" s="65"/>
      <c r="AJ795" s="65"/>
    </row>
    <row r="796" spans="2:36" ht="14.25" customHeight="1" x14ac:dyDescent="0.3">
      <c r="B796" s="65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5"/>
      <c r="AG796" s="65"/>
      <c r="AH796" s="65"/>
      <c r="AI796" s="65"/>
      <c r="AJ796" s="65"/>
    </row>
    <row r="797" spans="2:36" ht="14.25" customHeight="1" x14ac:dyDescent="0.3">
      <c r="B797" s="65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5"/>
      <c r="AG797" s="65"/>
      <c r="AH797" s="65"/>
      <c r="AI797" s="65"/>
      <c r="AJ797" s="65"/>
    </row>
    <row r="798" spans="2:36" ht="14.25" customHeight="1" x14ac:dyDescent="0.3">
      <c r="B798" s="65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5"/>
      <c r="AG798" s="65"/>
      <c r="AH798" s="65"/>
      <c r="AI798" s="65"/>
      <c r="AJ798" s="65"/>
    </row>
    <row r="799" spans="2:36" ht="14.25" customHeight="1" x14ac:dyDescent="0.3">
      <c r="B799" s="65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5"/>
      <c r="AG799" s="65"/>
      <c r="AH799" s="65"/>
      <c r="AI799" s="65"/>
      <c r="AJ799" s="65"/>
    </row>
    <row r="800" spans="2:36" ht="14.25" customHeight="1" x14ac:dyDescent="0.3">
      <c r="B800" s="65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5"/>
      <c r="AG800" s="65"/>
      <c r="AH800" s="65"/>
      <c r="AI800" s="65"/>
      <c r="AJ800" s="65"/>
    </row>
    <row r="801" spans="2:36" ht="14.25" customHeight="1" x14ac:dyDescent="0.3">
      <c r="B801" s="65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5"/>
      <c r="AG801" s="65"/>
      <c r="AH801" s="65"/>
      <c r="AI801" s="65"/>
      <c r="AJ801" s="65"/>
    </row>
    <row r="802" spans="2:36" ht="14.25" customHeight="1" x14ac:dyDescent="0.3">
      <c r="B802" s="65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5"/>
      <c r="AG802" s="65"/>
      <c r="AH802" s="65"/>
      <c r="AI802" s="65"/>
      <c r="AJ802" s="65"/>
    </row>
    <row r="803" spans="2:36" ht="14.25" customHeight="1" x14ac:dyDescent="0.3">
      <c r="B803" s="65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5"/>
      <c r="AG803" s="65"/>
      <c r="AH803" s="65"/>
      <c r="AI803" s="65"/>
      <c r="AJ803" s="65"/>
    </row>
    <row r="804" spans="2:36" ht="14.25" customHeight="1" x14ac:dyDescent="0.3">
      <c r="B804" s="65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5"/>
      <c r="AG804" s="65"/>
      <c r="AH804" s="65"/>
      <c r="AI804" s="65"/>
      <c r="AJ804" s="65"/>
    </row>
    <row r="805" spans="2:36" ht="14.25" customHeight="1" x14ac:dyDescent="0.3">
      <c r="B805" s="65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5"/>
      <c r="AG805" s="65"/>
      <c r="AH805" s="65"/>
      <c r="AI805" s="65"/>
      <c r="AJ805" s="65"/>
    </row>
    <row r="806" spans="2:36" ht="14.25" customHeight="1" x14ac:dyDescent="0.3">
      <c r="B806" s="65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5"/>
      <c r="AG806" s="65"/>
      <c r="AH806" s="65"/>
      <c r="AI806" s="65"/>
      <c r="AJ806" s="65"/>
    </row>
    <row r="807" spans="2:36" ht="14.25" customHeight="1" x14ac:dyDescent="0.3">
      <c r="B807" s="65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5"/>
      <c r="AG807" s="65"/>
      <c r="AH807" s="65"/>
      <c r="AI807" s="65"/>
      <c r="AJ807" s="65"/>
    </row>
    <row r="808" spans="2:36" ht="14.25" customHeight="1" x14ac:dyDescent="0.3">
      <c r="B808" s="65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5"/>
      <c r="AG808" s="65"/>
      <c r="AH808" s="65"/>
      <c r="AI808" s="65"/>
      <c r="AJ808" s="65"/>
    </row>
    <row r="809" spans="2:36" ht="14.25" customHeight="1" x14ac:dyDescent="0.3">
      <c r="B809" s="65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5"/>
      <c r="AG809" s="65"/>
      <c r="AH809" s="65"/>
      <c r="AI809" s="65"/>
      <c r="AJ809" s="65"/>
    </row>
    <row r="810" spans="2:36" ht="14.25" customHeight="1" x14ac:dyDescent="0.3">
      <c r="B810" s="65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5"/>
      <c r="AG810" s="65"/>
      <c r="AH810" s="65"/>
      <c r="AI810" s="65"/>
      <c r="AJ810" s="65"/>
    </row>
    <row r="811" spans="2:36" ht="14.25" customHeight="1" x14ac:dyDescent="0.3">
      <c r="B811" s="65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5"/>
      <c r="AG811" s="65"/>
      <c r="AH811" s="65"/>
      <c r="AI811" s="65"/>
      <c r="AJ811" s="65"/>
    </row>
    <row r="812" spans="2:36" ht="14.25" customHeight="1" x14ac:dyDescent="0.3">
      <c r="B812" s="65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5"/>
      <c r="AG812" s="65"/>
      <c r="AH812" s="65"/>
      <c r="AI812" s="65"/>
      <c r="AJ812" s="65"/>
    </row>
    <row r="813" spans="2:36" ht="14.25" customHeight="1" x14ac:dyDescent="0.3">
      <c r="B813" s="65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5"/>
      <c r="AG813" s="65"/>
      <c r="AH813" s="65"/>
      <c r="AI813" s="65"/>
      <c r="AJ813" s="65"/>
    </row>
    <row r="814" spans="2:36" ht="14.25" customHeight="1" x14ac:dyDescent="0.3">
      <c r="B814" s="65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5"/>
      <c r="AG814" s="65"/>
      <c r="AH814" s="65"/>
      <c r="AI814" s="65"/>
      <c r="AJ814" s="65"/>
    </row>
    <row r="815" spans="2:36" ht="14.25" customHeight="1" x14ac:dyDescent="0.3">
      <c r="B815" s="65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5"/>
      <c r="AG815" s="65"/>
      <c r="AH815" s="65"/>
      <c r="AI815" s="65"/>
      <c r="AJ815" s="65"/>
    </row>
    <row r="816" spans="2:36" ht="14.25" customHeight="1" x14ac:dyDescent="0.3">
      <c r="B816" s="65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5"/>
      <c r="AG816" s="65"/>
      <c r="AH816" s="65"/>
      <c r="AI816" s="65"/>
      <c r="AJ816" s="65"/>
    </row>
    <row r="817" spans="2:36" ht="14.25" customHeight="1" x14ac:dyDescent="0.3">
      <c r="B817" s="65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5"/>
      <c r="AG817" s="65"/>
      <c r="AH817" s="65"/>
      <c r="AI817" s="65"/>
      <c r="AJ817" s="65"/>
    </row>
    <row r="818" spans="2:36" ht="14.25" customHeight="1" x14ac:dyDescent="0.3">
      <c r="B818" s="65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5"/>
      <c r="AG818" s="65"/>
      <c r="AH818" s="65"/>
      <c r="AI818" s="65"/>
      <c r="AJ818" s="65"/>
    </row>
    <row r="819" spans="2:36" ht="14.25" customHeight="1" x14ac:dyDescent="0.3">
      <c r="B819" s="65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5"/>
      <c r="AG819" s="65"/>
      <c r="AH819" s="65"/>
      <c r="AI819" s="65"/>
      <c r="AJ819" s="65"/>
    </row>
    <row r="820" spans="2:36" ht="14.25" customHeight="1" x14ac:dyDescent="0.3">
      <c r="B820" s="65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5"/>
      <c r="AG820" s="65"/>
      <c r="AH820" s="65"/>
      <c r="AI820" s="65"/>
      <c r="AJ820" s="65"/>
    </row>
    <row r="821" spans="2:36" ht="14.25" customHeight="1" x14ac:dyDescent="0.3">
      <c r="B821" s="65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5"/>
      <c r="AG821" s="65"/>
      <c r="AH821" s="65"/>
      <c r="AI821" s="65"/>
      <c r="AJ821" s="65"/>
    </row>
    <row r="822" spans="2:36" ht="14.25" customHeight="1" x14ac:dyDescent="0.3">
      <c r="B822" s="65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5"/>
      <c r="AG822" s="65"/>
      <c r="AH822" s="65"/>
      <c r="AI822" s="65"/>
      <c r="AJ822" s="65"/>
    </row>
    <row r="823" spans="2:36" ht="14.25" customHeight="1" x14ac:dyDescent="0.3">
      <c r="B823" s="65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5"/>
      <c r="AG823" s="65"/>
      <c r="AH823" s="65"/>
      <c r="AI823" s="65"/>
      <c r="AJ823" s="65"/>
    </row>
    <row r="824" spans="2:36" ht="14.25" customHeight="1" x14ac:dyDescent="0.3">
      <c r="B824" s="65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5"/>
      <c r="AG824" s="65"/>
      <c r="AH824" s="65"/>
      <c r="AI824" s="65"/>
      <c r="AJ824" s="65"/>
    </row>
    <row r="825" spans="2:36" ht="14.25" customHeight="1" x14ac:dyDescent="0.3">
      <c r="B825" s="65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5"/>
      <c r="AG825" s="65"/>
      <c r="AH825" s="65"/>
      <c r="AI825" s="65"/>
      <c r="AJ825" s="65"/>
    </row>
    <row r="826" spans="2:36" ht="14.25" customHeight="1" x14ac:dyDescent="0.3">
      <c r="B826" s="65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5"/>
      <c r="AG826" s="65"/>
      <c r="AH826" s="65"/>
      <c r="AI826" s="65"/>
      <c r="AJ826" s="65"/>
    </row>
    <row r="827" spans="2:36" ht="14.25" customHeight="1" x14ac:dyDescent="0.3">
      <c r="B827" s="65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5"/>
      <c r="AG827" s="65"/>
      <c r="AH827" s="65"/>
      <c r="AI827" s="65"/>
      <c r="AJ827" s="65"/>
    </row>
    <row r="828" spans="2:36" ht="14.25" customHeight="1" x14ac:dyDescent="0.3">
      <c r="B828" s="65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5"/>
      <c r="AG828" s="65"/>
      <c r="AH828" s="65"/>
      <c r="AI828" s="65"/>
      <c r="AJ828" s="65"/>
    </row>
    <row r="829" spans="2:36" ht="14.25" customHeight="1" x14ac:dyDescent="0.3">
      <c r="B829" s="65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5"/>
      <c r="AG829" s="65"/>
      <c r="AH829" s="65"/>
      <c r="AI829" s="65"/>
      <c r="AJ829" s="65"/>
    </row>
    <row r="830" spans="2:36" ht="14.25" customHeight="1" x14ac:dyDescent="0.3">
      <c r="B830" s="65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5"/>
      <c r="AG830" s="65"/>
      <c r="AH830" s="65"/>
      <c r="AI830" s="65"/>
      <c r="AJ830" s="65"/>
    </row>
    <row r="831" spans="2:36" ht="14.25" customHeight="1" x14ac:dyDescent="0.3">
      <c r="B831" s="65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5"/>
      <c r="AG831" s="65"/>
      <c r="AH831" s="65"/>
      <c r="AI831" s="65"/>
      <c r="AJ831" s="65"/>
    </row>
    <row r="832" spans="2:36" ht="14.25" customHeight="1" x14ac:dyDescent="0.3">
      <c r="B832" s="65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5"/>
      <c r="AG832" s="65"/>
      <c r="AH832" s="65"/>
      <c r="AI832" s="65"/>
      <c r="AJ832" s="65"/>
    </row>
    <row r="833" spans="2:36" ht="14.25" customHeight="1" x14ac:dyDescent="0.3">
      <c r="B833" s="65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5"/>
      <c r="AG833" s="65"/>
      <c r="AH833" s="65"/>
      <c r="AI833" s="65"/>
      <c r="AJ833" s="65"/>
    </row>
    <row r="834" spans="2:36" ht="14.25" customHeight="1" x14ac:dyDescent="0.3">
      <c r="B834" s="65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5"/>
      <c r="AG834" s="65"/>
      <c r="AH834" s="65"/>
      <c r="AI834" s="65"/>
      <c r="AJ834" s="65"/>
    </row>
    <row r="835" spans="2:36" ht="14.25" customHeight="1" x14ac:dyDescent="0.3">
      <c r="B835" s="65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5"/>
      <c r="AG835" s="65"/>
      <c r="AH835" s="65"/>
      <c r="AI835" s="65"/>
      <c r="AJ835" s="65"/>
    </row>
    <row r="836" spans="2:36" ht="14.25" customHeight="1" x14ac:dyDescent="0.3">
      <c r="B836" s="65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5"/>
      <c r="AG836" s="65"/>
      <c r="AH836" s="65"/>
      <c r="AI836" s="65"/>
      <c r="AJ836" s="65"/>
    </row>
    <row r="837" spans="2:36" ht="14.25" customHeight="1" x14ac:dyDescent="0.3">
      <c r="B837" s="65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5"/>
      <c r="AG837" s="65"/>
      <c r="AH837" s="65"/>
      <c r="AI837" s="65"/>
      <c r="AJ837" s="65"/>
    </row>
    <row r="838" spans="2:36" ht="14.25" customHeight="1" x14ac:dyDescent="0.3">
      <c r="B838" s="65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5"/>
      <c r="AG838" s="65"/>
      <c r="AH838" s="65"/>
      <c r="AI838" s="65"/>
      <c r="AJ838" s="65"/>
    </row>
    <row r="839" spans="2:36" ht="14.25" customHeight="1" x14ac:dyDescent="0.3">
      <c r="B839" s="65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5"/>
      <c r="AG839" s="65"/>
      <c r="AH839" s="65"/>
      <c r="AI839" s="65"/>
      <c r="AJ839" s="65"/>
    </row>
    <row r="840" spans="2:36" ht="14.25" customHeight="1" x14ac:dyDescent="0.3">
      <c r="B840" s="65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5"/>
      <c r="AG840" s="65"/>
      <c r="AH840" s="65"/>
      <c r="AI840" s="65"/>
      <c r="AJ840" s="65"/>
    </row>
    <row r="841" spans="2:36" ht="14.25" customHeight="1" x14ac:dyDescent="0.3">
      <c r="B841" s="65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5"/>
      <c r="AG841" s="65"/>
      <c r="AH841" s="65"/>
      <c r="AI841" s="65"/>
      <c r="AJ841" s="65"/>
    </row>
    <row r="842" spans="2:36" ht="14.25" customHeight="1" x14ac:dyDescent="0.3">
      <c r="B842" s="65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5"/>
      <c r="AG842" s="65"/>
      <c r="AH842" s="65"/>
      <c r="AI842" s="65"/>
      <c r="AJ842" s="65"/>
    </row>
    <row r="843" spans="2:36" ht="14.25" customHeight="1" x14ac:dyDescent="0.3">
      <c r="B843" s="65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5"/>
      <c r="AG843" s="65"/>
      <c r="AH843" s="65"/>
      <c r="AI843" s="65"/>
      <c r="AJ843" s="65"/>
    </row>
    <row r="844" spans="2:36" ht="14.25" customHeight="1" x14ac:dyDescent="0.3">
      <c r="B844" s="65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5"/>
      <c r="AG844" s="65"/>
      <c r="AH844" s="65"/>
      <c r="AI844" s="65"/>
      <c r="AJ844" s="65"/>
    </row>
    <row r="845" spans="2:36" ht="14.25" customHeight="1" x14ac:dyDescent="0.3">
      <c r="B845" s="65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5"/>
      <c r="AG845" s="65"/>
      <c r="AH845" s="65"/>
      <c r="AI845" s="65"/>
      <c r="AJ845" s="65"/>
    </row>
    <row r="846" spans="2:36" ht="14.25" customHeight="1" x14ac:dyDescent="0.3">
      <c r="B846" s="65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5"/>
      <c r="AG846" s="65"/>
      <c r="AH846" s="65"/>
      <c r="AI846" s="65"/>
      <c r="AJ846" s="65"/>
    </row>
    <row r="847" spans="2:36" ht="14.25" customHeight="1" x14ac:dyDescent="0.3">
      <c r="B847" s="65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5"/>
      <c r="AG847" s="65"/>
      <c r="AH847" s="65"/>
      <c r="AI847" s="65"/>
      <c r="AJ847" s="65"/>
    </row>
    <row r="848" spans="2:36" ht="14.25" customHeight="1" x14ac:dyDescent="0.3">
      <c r="B848" s="65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5"/>
      <c r="AG848" s="65"/>
      <c r="AH848" s="65"/>
      <c r="AI848" s="65"/>
      <c r="AJ848" s="65"/>
    </row>
    <row r="849" spans="2:36" ht="14.25" customHeight="1" x14ac:dyDescent="0.3">
      <c r="B849" s="65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5"/>
      <c r="AG849" s="65"/>
      <c r="AH849" s="65"/>
      <c r="AI849" s="65"/>
      <c r="AJ849" s="65"/>
    </row>
    <row r="850" spans="2:36" ht="14.25" customHeight="1" x14ac:dyDescent="0.3">
      <c r="B850" s="65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5"/>
      <c r="AG850" s="65"/>
      <c r="AH850" s="65"/>
      <c r="AI850" s="65"/>
      <c r="AJ850" s="65"/>
    </row>
    <row r="851" spans="2:36" ht="14.25" customHeight="1" x14ac:dyDescent="0.3">
      <c r="B851" s="65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5"/>
      <c r="AG851" s="65"/>
      <c r="AH851" s="65"/>
      <c r="AI851" s="65"/>
      <c r="AJ851" s="65"/>
    </row>
    <row r="852" spans="2:36" ht="14.25" customHeight="1" x14ac:dyDescent="0.3">
      <c r="B852" s="65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5"/>
      <c r="AG852" s="65"/>
      <c r="AH852" s="65"/>
      <c r="AI852" s="65"/>
      <c r="AJ852" s="65"/>
    </row>
    <row r="853" spans="2:36" ht="14.25" customHeight="1" x14ac:dyDescent="0.3">
      <c r="B853" s="65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5"/>
      <c r="AG853" s="65"/>
      <c r="AH853" s="65"/>
      <c r="AI853" s="65"/>
      <c r="AJ853" s="65"/>
    </row>
    <row r="854" spans="2:36" ht="14.25" customHeight="1" x14ac:dyDescent="0.3">
      <c r="B854" s="65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5"/>
      <c r="AG854" s="65"/>
      <c r="AH854" s="65"/>
      <c r="AI854" s="65"/>
      <c r="AJ854" s="65"/>
    </row>
    <row r="855" spans="2:36" ht="14.25" customHeight="1" x14ac:dyDescent="0.3">
      <c r="B855" s="65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5"/>
      <c r="AG855" s="65"/>
      <c r="AH855" s="65"/>
      <c r="AI855" s="65"/>
      <c r="AJ855" s="65"/>
    </row>
    <row r="856" spans="2:36" ht="14.25" customHeight="1" x14ac:dyDescent="0.3">
      <c r="B856" s="65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5"/>
      <c r="AG856" s="65"/>
      <c r="AH856" s="65"/>
      <c r="AI856" s="65"/>
      <c r="AJ856" s="65"/>
    </row>
    <row r="857" spans="2:36" ht="14.25" customHeight="1" x14ac:dyDescent="0.3">
      <c r="B857" s="65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5"/>
      <c r="AG857" s="65"/>
      <c r="AH857" s="65"/>
      <c r="AI857" s="65"/>
      <c r="AJ857" s="65"/>
    </row>
    <row r="858" spans="2:36" ht="14.25" customHeight="1" x14ac:dyDescent="0.3">
      <c r="B858" s="65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5"/>
      <c r="AG858" s="65"/>
      <c r="AH858" s="65"/>
      <c r="AI858" s="65"/>
      <c r="AJ858" s="65"/>
    </row>
    <row r="859" spans="2:36" ht="14.25" customHeight="1" x14ac:dyDescent="0.3">
      <c r="B859" s="65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5"/>
      <c r="AG859" s="65"/>
      <c r="AH859" s="65"/>
      <c r="AI859" s="65"/>
      <c r="AJ859" s="65"/>
    </row>
    <row r="860" spans="2:36" ht="14.25" customHeight="1" x14ac:dyDescent="0.3">
      <c r="B860" s="65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5"/>
      <c r="AG860" s="65"/>
      <c r="AH860" s="65"/>
      <c r="AI860" s="65"/>
      <c r="AJ860" s="65"/>
    </row>
    <row r="861" spans="2:36" ht="14.25" customHeight="1" x14ac:dyDescent="0.3">
      <c r="B861" s="65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5"/>
      <c r="AG861" s="65"/>
      <c r="AH861" s="65"/>
      <c r="AI861" s="65"/>
      <c r="AJ861" s="65"/>
    </row>
    <row r="862" spans="2:36" ht="14.25" customHeight="1" x14ac:dyDescent="0.3">
      <c r="B862" s="65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5"/>
      <c r="AG862" s="65"/>
      <c r="AH862" s="65"/>
      <c r="AI862" s="65"/>
      <c r="AJ862" s="65"/>
    </row>
    <row r="863" spans="2:36" ht="14.25" customHeight="1" x14ac:dyDescent="0.3">
      <c r="B863" s="65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5"/>
      <c r="AG863" s="65"/>
      <c r="AH863" s="65"/>
      <c r="AI863" s="65"/>
      <c r="AJ863" s="65"/>
    </row>
    <row r="864" spans="2:36" ht="14.25" customHeight="1" x14ac:dyDescent="0.3">
      <c r="B864" s="65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5"/>
      <c r="AG864" s="65"/>
      <c r="AH864" s="65"/>
      <c r="AI864" s="65"/>
      <c r="AJ864" s="65"/>
    </row>
    <row r="865" spans="2:36" ht="14.25" customHeight="1" x14ac:dyDescent="0.3">
      <c r="B865" s="65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5"/>
      <c r="AG865" s="65"/>
      <c r="AH865" s="65"/>
      <c r="AI865" s="65"/>
      <c r="AJ865" s="65"/>
    </row>
    <row r="866" spans="2:36" ht="14.25" customHeight="1" x14ac:dyDescent="0.3">
      <c r="B866" s="65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5"/>
      <c r="AG866" s="65"/>
      <c r="AH866" s="65"/>
      <c r="AI866" s="65"/>
      <c r="AJ866" s="65"/>
    </row>
    <row r="867" spans="2:36" ht="14.25" customHeight="1" x14ac:dyDescent="0.3">
      <c r="B867" s="65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5"/>
      <c r="AG867" s="65"/>
      <c r="AH867" s="65"/>
      <c r="AI867" s="65"/>
      <c r="AJ867" s="65"/>
    </row>
    <row r="868" spans="2:36" ht="14.25" customHeight="1" x14ac:dyDescent="0.3">
      <c r="B868" s="65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5"/>
      <c r="AG868" s="65"/>
      <c r="AH868" s="65"/>
      <c r="AI868" s="65"/>
      <c r="AJ868" s="65"/>
    </row>
    <row r="869" spans="2:36" ht="14.25" customHeight="1" x14ac:dyDescent="0.3">
      <c r="B869" s="65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5"/>
      <c r="AG869" s="65"/>
      <c r="AH869" s="65"/>
      <c r="AI869" s="65"/>
      <c r="AJ869" s="65"/>
    </row>
    <row r="870" spans="2:36" ht="14.25" customHeight="1" x14ac:dyDescent="0.3">
      <c r="B870" s="65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5"/>
      <c r="AG870" s="65"/>
      <c r="AH870" s="65"/>
      <c r="AI870" s="65"/>
      <c r="AJ870" s="65"/>
    </row>
    <row r="871" spans="2:36" ht="14.25" customHeight="1" x14ac:dyDescent="0.3">
      <c r="B871" s="65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5"/>
      <c r="AG871" s="65"/>
      <c r="AH871" s="65"/>
      <c r="AI871" s="65"/>
      <c r="AJ871" s="65"/>
    </row>
    <row r="872" spans="2:36" ht="14.25" customHeight="1" x14ac:dyDescent="0.3">
      <c r="B872" s="65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5"/>
      <c r="AG872" s="65"/>
      <c r="AH872" s="65"/>
      <c r="AI872" s="65"/>
      <c r="AJ872" s="65"/>
    </row>
    <row r="873" spans="2:36" ht="14.25" customHeight="1" x14ac:dyDescent="0.3">
      <c r="B873" s="65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5"/>
      <c r="AG873" s="65"/>
      <c r="AH873" s="65"/>
      <c r="AI873" s="65"/>
      <c r="AJ873" s="65"/>
    </row>
    <row r="874" spans="2:36" ht="14.25" customHeight="1" x14ac:dyDescent="0.3">
      <c r="B874" s="65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5"/>
      <c r="AG874" s="65"/>
      <c r="AH874" s="65"/>
      <c r="AI874" s="65"/>
      <c r="AJ874" s="65"/>
    </row>
    <row r="875" spans="2:36" ht="14.25" customHeight="1" x14ac:dyDescent="0.3">
      <c r="B875" s="65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5"/>
      <c r="AG875" s="65"/>
      <c r="AH875" s="65"/>
      <c r="AI875" s="65"/>
      <c r="AJ875" s="65"/>
    </row>
    <row r="876" spans="2:36" ht="14.25" customHeight="1" x14ac:dyDescent="0.3">
      <c r="B876" s="65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5"/>
      <c r="AG876" s="65"/>
      <c r="AH876" s="65"/>
      <c r="AI876" s="65"/>
      <c r="AJ876" s="65"/>
    </row>
    <row r="877" spans="2:36" ht="14.25" customHeight="1" x14ac:dyDescent="0.3">
      <c r="B877" s="65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5"/>
      <c r="AG877" s="65"/>
      <c r="AH877" s="65"/>
      <c r="AI877" s="65"/>
      <c r="AJ877" s="65"/>
    </row>
    <row r="878" spans="2:36" ht="14.25" customHeight="1" x14ac:dyDescent="0.3">
      <c r="B878" s="65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5"/>
      <c r="AG878" s="65"/>
      <c r="AH878" s="65"/>
      <c r="AI878" s="65"/>
      <c r="AJ878" s="65"/>
    </row>
    <row r="879" spans="2:36" ht="14.25" customHeight="1" x14ac:dyDescent="0.3">
      <c r="B879" s="65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5"/>
      <c r="AG879" s="65"/>
      <c r="AH879" s="65"/>
      <c r="AI879" s="65"/>
      <c r="AJ879" s="65"/>
    </row>
    <row r="880" spans="2:36" ht="14.25" customHeight="1" x14ac:dyDescent="0.3">
      <c r="B880" s="65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5"/>
      <c r="AG880" s="65"/>
      <c r="AH880" s="65"/>
      <c r="AI880" s="65"/>
      <c r="AJ880" s="65"/>
    </row>
    <row r="881" spans="2:36" ht="14.25" customHeight="1" x14ac:dyDescent="0.3">
      <c r="B881" s="65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5"/>
      <c r="AG881" s="65"/>
      <c r="AH881" s="65"/>
      <c r="AI881" s="65"/>
      <c r="AJ881" s="65"/>
    </row>
    <row r="882" spans="2:36" ht="14.25" customHeight="1" x14ac:dyDescent="0.3">
      <c r="B882" s="65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5"/>
      <c r="AG882" s="65"/>
      <c r="AH882" s="65"/>
      <c r="AI882" s="65"/>
      <c r="AJ882" s="65"/>
    </row>
    <row r="883" spans="2:36" ht="14.25" customHeight="1" x14ac:dyDescent="0.3">
      <c r="B883" s="65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5"/>
      <c r="AG883" s="65"/>
      <c r="AH883" s="65"/>
      <c r="AI883" s="65"/>
      <c r="AJ883" s="65"/>
    </row>
    <row r="884" spans="2:36" ht="14.25" customHeight="1" x14ac:dyDescent="0.3">
      <c r="B884" s="65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5"/>
      <c r="AG884" s="65"/>
      <c r="AH884" s="65"/>
      <c r="AI884" s="65"/>
      <c r="AJ884" s="65"/>
    </row>
    <row r="885" spans="2:36" ht="14.25" customHeight="1" x14ac:dyDescent="0.3">
      <c r="B885" s="65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5"/>
      <c r="AG885" s="65"/>
      <c r="AH885" s="65"/>
      <c r="AI885" s="65"/>
      <c r="AJ885" s="65"/>
    </row>
    <row r="886" spans="2:36" ht="14.25" customHeight="1" x14ac:dyDescent="0.3">
      <c r="B886" s="65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5"/>
      <c r="AG886" s="65"/>
      <c r="AH886" s="65"/>
      <c r="AI886" s="65"/>
      <c r="AJ886" s="65"/>
    </row>
    <row r="887" spans="2:36" ht="14.25" customHeight="1" x14ac:dyDescent="0.3">
      <c r="B887" s="65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5"/>
      <c r="AG887" s="65"/>
      <c r="AH887" s="65"/>
      <c r="AI887" s="65"/>
      <c r="AJ887" s="65"/>
    </row>
    <row r="888" spans="2:36" ht="14.25" customHeight="1" x14ac:dyDescent="0.3">
      <c r="B888" s="65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5"/>
      <c r="AG888" s="65"/>
      <c r="AH888" s="65"/>
      <c r="AI888" s="65"/>
      <c r="AJ888" s="65"/>
    </row>
    <row r="889" spans="2:36" ht="14.25" customHeight="1" x14ac:dyDescent="0.3">
      <c r="B889" s="65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5"/>
      <c r="AG889" s="65"/>
      <c r="AH889" s="65"/>
      <c r="AI889" s="65"/>
      <c r="AJ889" s="65"/>
    </row>
    <row r="890" spans="2:36" ht="14.25" customHeight="1" x14ac:dyDescent="0.3">
      <c r="B890" s="65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5"/>
      <c r="AG890" s="65"/>
      <c r="AH890" s="65"/>
      <c r="AI890" s="65"/>
      <c r="AJ890" s="65"/>
    </row>
    <row r="891" spans="2:36" ht="14.25" customHeight="1" x14ac:dyDescent="0.3">
      <c r="B891" s="65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5"/>
      <c r="AG891" s="65"/>
      <c r="AH891" s="65"/>
      <c r="AI891" s="65"/>
      <c r="AJ891" s="65"/>
    </row>
    <row r="892" spans="2:36" ht="14.25" customHeight="1" x14ac:dyDescent="0.3">
      <c r="B892" s="65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5"/>
      <c r="AG892" s="65"/>
      <c r="AH892" s="65"/>
      <c r="AI892" s="65"/>
      <c r="AJ892" s="65"/>
    </row>
    <row r="893" spans="2:36" ht="14.25" customHeight="1" x14ac:dyDescent="0.3">
      <c r="B893" s="65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5"/>
      <c r="AG893" s="65"/>
      <c r="AH893" s="65"/>
      <c r="AI893" s="65"/>
      <c r="AJ893" s="65"/>
    </row>
    <row r="894" spans="2:36" ht="14.25" customHeight="1" x14ac:dyDescent="0.3">
      <c r="B894" s="65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5"/>
      <c r="AG894" s="65"/>
      <c r="AH894" s="65"/>
      <c r="AI894" s="65"/>
      <c r="AJ894" s="65"/>
    </row>
    <row r="895" spans="2:36" ht="14.25" customHeight="1" x14ac:dyDescent="0.3">
      <c r="B895" s="65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5"/>
      <c r="AG895" s="65"/>
      <c r="AH895" s="65"/>
      <c r="AI895" s="65"/>
      <c r="AJ895" s="65"/>
    </row>
    <row r="896" spans="2:36" ht="14.25" customHeight="1" x14ac:dyDescent="0.3">
      <c r="B896" s="65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5"/>
      <c r="AG896" s="65"/>
      <c r="AH896" s="65"/>
      <c r="AI896" s="65"/>
      <c r="AJ896" s="65"/>
    </row>
    <row r="897" spans="2:36" ht="14.25" customHeight="1" x14ac:dyDescent="0.3">
      <c r="B897" s="65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5"/>
      <c r="AG897" s="65"/>
      <c r="AH897" s="65"/>
      <c r="AI897" s="65"/>
      <c r="AJ897" s="65"/>
    </row>
    <row r="898" spans="2:36" ht="14.25" customHeight="1" x14ac:dyDescent="0.3">
      <c r="B898" s="65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5"/>
      <c r="AG898" s="65"/>
      <c r="AH898" s="65"/>
      <c r="AI898" s="65"/>
      <c r="AJ898" s="65"/>
    </row>
    <row r="899" spans="2:36" ht="14.25" customHeight="1" x14ac:dyDescent="0.3">
      <c r="B899" s="65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5"/>
      <c r="AG899" s="65"/>
      <c r="AH899" s="65"/>
      <c r="AI899" s="65"/>
      <c r="AJ899" s="65"/>
    </row>
    <row r="900" spans="2:36" ht="14.25" customHeight="1" x14ac:dyDescent="0.3">
      <c r="B900" s="65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5"/>
      <c r="AG900" s="65"/>
      <c r="AH900" s="65"/>
      <c r="AI900" s="65"/>
      <c r="AJ900" s="65"/>
    </row>
    <row r="901" spans="2:36" ht="14.25" customHeight="1" x14ac:dyDescent="0.3">
      <c r="B901" s="65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5"/>
      <c r="AG901" s="65"/>
      <c r="AH901" s="65"/>
      <c r="AI901" s="65"/>
      <c r="AJ901" s="65"/>
    </row>
    <row r="902" spans="2:36" ht="14.25" customHeight="1" x14ac:dyDescent="0.3">
      <c r="B902" s="65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5"/>
      <c r="AG902" s="65"/>
      <c r="AH902" s="65"/>
      <c r="AI902" s="65"/>
      <c r="AJ902" s="65"/>
    </row>
    <row r="903" spans="2:36" ht="14.25" customHeight="1" x14ac:dyDescent="0.3">
      <c r="B903" s="65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5"/>
      <c r="AG903" s="65"/>
      <c r="AH903" s="65"/>
      <c r="AI903" s="65"/>
      <c r="AJ903" s="65"/>
    </row>
    <row r="904" spans="2:36" ht="14.25" customHeight="1" x14ac:dyDescent="0.3">
      <c r="B904" s="65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5"/>
      <c r="AG904" s="65"/>
      <c r="AH904" s="65"/>
      <c r="AI904" s="65"/>
      <c r="AJ904" s="65"/>
    </row>
    <row r="905" spans="2:36" ht="14.25" customHeight="1" x14ac:dyDescent="0.3">
      <c r="B905" s="65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5"/>
      <c r="AG905" s="65"/>
      <c r="AH905" s="65"/>
      <c r="AI905" s="65"/>
      <c r="AJ905" s="65"/>
    </row>
    <row r="906" spans="2:36" ht="14.25" customHeight="1" x14ac:dyDescent="0.3">
      <c r="B906" s="65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5"/>
      <c r="AG906" s="65"/>
      <c r="AH906" s="65"/>
      <c r="AI906" s="65"/>
      <c r="AJ906" s="65"/>
    </row>
    <row r="907" spans="2:36" ht="14.25" customHeight="1" x14ac:dyDescent="0.3">
      <c r="B907" s="65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5"/>
      <c r="AG907" s="65"/>
      <c r="AH907" s="65"/>
      <c r="AI907" s="65"/>
      <c r="AJ907" s="65"/>
    </row>
    <row r="908" spans="2:36" ht="14.25" customHeight="1" x14ac:dyDescent="0.3">
      <c r="B908" s="65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5"/>
      <c r="AG908" s="65"/>
      <c r="AH908" s="65"/>
      <c r="AI908" s="65"/>
      <c r="AJ908" s="65"/>
    </row>
    <row r="909" spans="2:36" ht="14.25" customHeight="1" x14ac:dyDescent="0.3">
      <c r="B909" s="65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5"/>
      <c r="AG909" s="65"/>
      <c r="AH909" s="65"/>
      <c r="AI909" s="65"/>
      <c r="AJ909" s="65"/>
    </row>
    <row r="910" spans="2:36" ht="14.25" customHeight="1" x14ac:dyDescent="0.3">
      <c r="B910" s="65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5"/>
      <c r="AG910" s="65"/>
      <c r="AH910" s="65"/>
      <c r="AI910" s="65"/>
      <c r="AJ910" s="65"/>
    </row>
    <row r="911" spans="2:36" ht="14.25" customHeight="1" x14ac:dyDescent="0.3">
      <c r="B911" s="65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5"/>
      <c r="AG911" s="65"/>
      <c r="AH911" s="65"/>
      <c r="AI911" s="65"/>
      <c r="AJ911" s="65"/>
    </row>
    <row r="912" spans="2:36" ht="14.25" customHeight="1" x14ac:dyDescent="0.3">
      <c r="B912" s="65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5"/>
      <c r="AG912" s="65"/>
      <c r="AH912" s="65"/>
      <c r="AI912" s="65"/>
      <c r="AJ912" s="65"/>
    </row>
    <row r="913" spans="2:36" ht="14.25" customHeight="1" x14ac:dyDescent="0.3">
      <c r="B913" s="65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5"/>
      <c r="AG913" s="65"/>
      <c r="AH913" s="65"/>
      <c r="AI913" s="65"/>
      <c r="AJ913" s="65"/>
    </row>
    <row r="914" spans="2:36" ht="14.25" customHeight="1" x14ac:dyDescent="0.3">
      <c r="B914" s="65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5"/>
      <c r="AG914" s="65"/>
      <c r="AH914" s="65"/>
      <c r="AI914" s="65"/>
      <c r="AJ914" s="65"/>
    </row>
    <row r="915" spans="2:36" ht="14.25" customHeight="1" x14ac:dyDescent="0.3">
      <c r="B915" s="65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5"/>
      <c r="AG915" s="65"/>
      <c r="AH915" s="65"/>
      <c r="AI915" s="65"/>
      <c r="AJ915" s="65"/>
    </row>
    <row r="916" spans="2:36" ht="14.25" customHeight="1" x14ac:dyDescent="0.3">
      <c r="B916" s="65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5"/>
      <c r="AG916" s="65"/>
      <c r="AH916" s="65"/>
      <c r="AI916" s="65"/>
      <c r="AJ916" s="65"/>
    </row>
    <row r="917" spans="2:36" ht="14.25" customHeight="1" x14ac:dyDescent="0.3">
      <c r="B917" s="65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5"/>
      <c r="AG917" s="65"/>
      <c r="AH917" s="65"/>
      <c r="AI917" s="65"/>
      <c r="AJ917" s="65"/>
    </row>
    <row r="918" spans="2:36" ht="14.25" customHeight="1" x14ac:dyDescent="0.3">
      <c r="B918" s="65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5"/>
      <c r="AG918" s="65"/>
      <c r="AH918" s="65"/>
      <c r="AI918" s="65"/>
      <c r="AJ918" s="65"/>
    </row>
    <row r="919" spans="2:36" ht="14.25" customHeight="1" x14ac:dyDescent="0.3">
      <c r="B919" s="65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5"/>
      <c r="AG919" s="65"/>
      <c r="AH919" s="65"/>
      <c r="AI919" s="65"/>
      <c r="AJ919" s="65"/>
    </row>
    <row r="920" spans="2:36" ht="14.25" customHeight="1" x14ac:dyDescent="0.3">
      <c r="B920" s="65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5"/>
      <c r="AG920" s="65"/>
      <c r="AH920" s="65"/>
      <c r="AI920" s="65"/>
      <c r="AJ920" s="65"/>
    </row>
    <row r="921" spans="2:36" ht="14.25" customHeight="1" x14ac:dyDescent="0.3">
      <c r="B921" s="65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5"/>
      <c r="AG921" s="65"/>
      <c r="AH921" s="65"/>
      <c r="AI921" s="65"/>
      <c r="AJ921" s="65"/>
    </row>
    <row r="922" spans="2:36" ht="14.25" customHeight="1" x14ac:dyDescent="0.3">
      <c r="B922" s="65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5"/>
      <c r="AG922" s="65"/>
      <c r="AH922" s="65"/>
      <c r="AI922" s="65"/>
      <c r="AJ922" s="65"/>
    </row>
    <row r="923" spans="2:36" ht="14.25" customHeight="1" x14ac:dyDescent="0.3">
      <c r="B923" s="65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5"/>
      <c r="AG923" s="65"/>
      <c r="AH923" s="65"/>
      <c r="AI923" s="65"/>
      <c r="AJ923" s="65"/>
    </row>
    <row r="924" spans="2:36" ht="14.25" customHeight="1" x14ac:dyDescent="0.3">
      <c r="B924" s="65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5"/>
      <c r="AG924" s="65"/>
      <c r="AH924" s="65"/>
      <c r="AI924" s="65"/>
      <c r="AJ924" s="65"/>
    </row>
    <row r="925" spans="2:36" ht="14.25" customHeight="1" x14ac:dyDescent="0.3">
      <c r="B925" s="65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5"/>
      <c r="AG925" s="65"/>
      <c r="AH925" s="65"/>
      <c r="AI925" s="65"/>
      <c r="AJ925" s="65"/>
    </row>
    <row r="926" spans="2:36" ht="14.25" customHeight="1" x14ac:dyDescent="0.3">
      <c r="B926" s="65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5"/>
      <c r="AG926" s="65"/>
      <c r="AH926" s="65"/>
      <c r="AI926" s="65"/>
      <c r="AJ926" s="65"/>
    </row>
    <row r="927" spans="2:36" ht="14.25" customHeight="1" x14ac:dyDescent="0.3">
      <c r="B927" s="65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5"/>
      <c r="AG927" s="65"/>
      <c r="AH927" s="65"/>
      <c r="AI927" s="65"/>
      <c r="AJ927" s="65"/>
    </row>
    <row r="928" spans="2:36" ht="14.25" customHeight="1" x14ac:dyDescent="0.3">
      <c r="B928" s="65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5"/>
      <c r="AG928" s="65"/>
      <c r="AH928" s="65"/>
      <c r="AI928" s="65"/>
      <c r="AJ928" s="65"/>
    </row>
    <row r="929" spans="2:36" ht="14.25" customHeight="1" x14ac:dyDescent="0.3">
      <c r="B929" s="65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5"/>
      <c r="AG929" s="65"/>
      <c r="AH929" s="65"/>
      <c r="AI929" s="65"/>
      <c r="AJ929" s="65"/>
    </row>
    <row r="930" spans="2:36" ht="14.25" customHeight="1" x14ac:dyDescent="0.3">
      <c r="B930" s="65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5"/>
      <c r="AG930" s="65"/>
      <c r="AH930" s="65"/>
      <c r="AI930" s="65"/>
      <c r="AJ930" s="65"/>
    </row>
    <row r="931" spans="2:36" ht="14.25" customHeight="1" x14ac:dyDescent="0.3">
      <c r="B931" s="65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5"/>
      <c r="AG931" s="65"/>
      <c r="AH931" s="65"/>
      <c r="AI931" s="65"/>
      <c r="AJ931" s="65"/>
    </row>
    <row r="932" spans="2:36" ht="14.25" customHeight="1" x14ac:dyDescent="0.3">
      <c r="B932" s="65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5"/>
      <c r="AG932" s="65"/>
      <c r="AH932" s="65"/>
      <c r="AI932" s="65"/>
      <c r="AJ932" s="65"/>
    </row>
    <row r="933" spans="2:36" ht="14.25" customHeight="1" x14ac:dyDescent="0.3">
      <c r="B933" s="65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5"/>
      <c r="AG933" s="65"/>
      <c r="AH933" s="65"/>
      <c r="AI933" s="65"/>
      <c r="AJ933" s="65"/>
    </row>
    <row r="934" spans="2:36" ht="14.25" customHeight="1" x14ac:dyDescent="0.3">
      <c r="B934" s="65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5"/>
      <c r="AG934" s="65"/>
      <c r="AH934" s="65"/>
      <c r="AI934" s="65"/>
      <c r="AJ934" s="65"/>
    </row>
    <row r="935" spans="2:36" ht="14.25" customHeight="1" x14ac:dyDescent="0.3">
      <c r="B935" s="65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5"/>
      <c r="AG935" s="65"/>
      <c r="AH935" s="65"/>
      <c r="AI935" s="65"/>
      <c r="AJ935" s="65"/>
    </row>
    <row r="936" spans="2:36" ht="14.25" customHeight="1" x14ac:dyDescent="0.3">
      <c r="B936" s="65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5"/>
      <c r="AG936" s="65"/>
      <c r="AH936" s="65"/>
      <c r="AI936" s="65"/>
      <c r="AJ936" s="65"/>
    </row>
    <row r="937" spans="2:36" ht="14.25" customHeight="1" x14ac:dyDescent="0.3">
      <c r="B937" s="65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5"/>
      <c r="AG937" s="65"/>
      <c r="AH937" s="65"/>
      <c r="AI937" s="65"/>
      <c r="AJ937" s="65"/>
    </row>
    <row r="938" spans="2:36" ht="14.25" customHeight="1" x14ac:dyDescent="0.3">
      <c r="B938" s="65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5"/>
      <c r="AG938" s="65"/>
      <c r="AH938" s="65"/>
      <c r="AI938" s="65"/>
      <c r="AJ938" s="65"/>
    </row>
    <row r="939" spans="2:36" ht="14.25" customHeight="1" x14ac:dyDescent="0.3">
      <c r="B939" s="65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5"/>
      <c r="AG939" s="65"/>
      <c r="AH939" s="65"/>
      <c r="AI939" s="65"/>
      <c r="AJ939" s="65"/>
    </row>
    <row r="940" spans="2:36" ht="14.25" customHeight="1" x14ac:dyDescent="0.3">
      <c r="B940" s="65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5"/>
      <c r="AG940" s="65"/>
      <c r="AH940" s="65"/>
      <c r="AI940" s="65"/>
      <c r="AJ940" s="65"/>
    </row>
    <row r="941" spans="2:36" ht="14.25" customHeight="1" x14ac:dyDescent="0.3">
      <c r="B941" s="65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5"/>
      <c r="AG941" s="65"/>
      <c r="AH941" s="65"/>
      <c r="AI941" s="65"/>
      <c r="AJ941" s="65"/>
    </row>
    <row r="942" spans="2:36" ht="14.25" customHeight="1" x14ac:dyDescent="0.3">
      <c r="B942" s="65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5"/>
      <c r="AG942" s="65"/>
      <c r="AH942" s="65"/>
      <c r="AI942" s="65"/>
      <c r="AJ942" s="65"/>
    </row>
    <row r="943" spans="2:36" ht="14.25" customHeight="1" x14ac:dyDescent="0.3">
      <c r="B943" s="65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5"/>
      <c r="AG943" s="65"/>
      <c r="AH943" s="65"/>
      <c r="AI943" s="65"/>
      <c r="AJ943" s="65"/>
    </row>
    <row r="944" spans="2:36" ht="14.25" customHeight="1" x14ac:dyDescent="0.3">
      <c r="B944" s="65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5"/>
      <c r="AG944" s="65"/>
      <c r="AH944" s="65"/>
      <c r="AI944" s="65"/>
      <c r="AJ944" s="65"/>
    </row>
    <row r="945" spans="2:36" ht="14.25" customHeight="1" x14ac:dyDescent="0.3">
      <c r="B945" s="65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5"/>
      <c r="AG945" s="65"/>
      <c r="AH945" s="65"/>
      <c r="AI945" s="65"/>
      <c r="AJ945" s="65"/>
    </row>
    <row r="946" spans="2:36" ht="14.25" customHeight="1" x14ac:dyDescent="0.3">
      <c r="B946" s="65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5"/>
      <c r="AG946" s="65"/>
      <c r="AH946" s="65"/>
      <c r="AI946" s="65"/>
      <c r="AJ946" s="65"/>
    </row>
    <row r="947" spans="2:36" ht="14.25" customHeight="1" x14ac:dyDescent="0.3">
      <c r="B947" s="65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5"/>
      <c r="AG947" s="65"/>
      <c r="AH947" s="65"/>
      <c r="AI947" s="65"/>
      <c r="AJ947" s="65"/>
    </row>
    <row r="948" spans="2:36" ht="14.25" customHeight="1" x14ac:dyDescent="0.3">
      <c r="B948" s="65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5"/>
      <c r="AG948" s="65"/>
      <c r="AH948" s="65"/>
      <c r="AI948" s="65"/>
      <c r="AJ948" s="65"/>
    </row>
    <row r="949" spans="2:36" ht="14.25" customHeight="1" x14ac:dyDescent="0.3">
      <c r="B949" s="65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5"/>
      <c r="AG949" s="65"/>
      <c r="AH949" s="65"/>
      <c r="AI949" s="65"/>
      <c r="AJ949" s="65"/>
    </row>
    <row r="950" spans="2:36" ht="14.25" customHeight="1" x14ac:dyDescent="0.3">
      <c r="B950" s="65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5"/>
      <c r="AG950" s="65"/>
      <c r="AH950" s="65"/>
      <c r="AI950" s="65"/>
      <c r="AJ950" s="65"/>
    </row>
    <row r="951" spans="2:36" ht="14.25" customHeight="1" x14ac:dyDescent="0.3">
      <c r="B951" s="65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5"/>
      <c r="AG951" s="65"/>
      <c r="AH951" s="65"/>
      <c r="AI951" s="65"/>
      <c r="AJ951" s="65"/>
    </row>
    <row r="952" spans="2:36" ht="14.25" customHeight="1" x14ac:dyDescent="0.3">
      <c r="B952" s="65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5"/>
      <c r="AG952" s="65"/>
      <c r="AH952" s="65"/>
      <c r="AI952" s="65"/>
      <c r="AJ952" s="65"/>
    </row>
    <row r="953" spans="2:36" ht="14.25" customHeight="1" x14ac:dyDescent="0.3">
      <c r="B953" s="65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5"/>
      <c r="AG953" s="65"/>
      <c r="AH953" s="65"/>
      <c r="AI953" s="65"/>
      <c r="AJ953" s="65"/>
    </row>
    <row r="954" spans="2:36" ht="14.25" customHeight="1" x14ac:dyDescent="0.3">
      <c r="B954" s="65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5"/>
      <c r="AG954" s="65"/>
      <c r="AH954" s="65"/>
      <c r="AI954" s="65"/>
      <c r="AJ954" s="65"/>
    </row>
    <row r="955" spans="2:36" ht="14.25" customHeight="1" x14ac:dyDescent="0.3">
      <c r="B955" s="65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5"/>
      <c r="AG955" s="65"/>
      <c r="AH955" s="65"/>
      <c r="AI955" s="65"/>
      <c r="AJ955" s="65"/>
    </row>
    <row r="956" spans="2:36" ht="14.25" customHeight="1" x14ac:dyDescent="0.3">
      <c r="B956" s="65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5"/>
      <c r="AG956" s="65"/>
      <c r="AH956" s="65"/>
      <c r="AI956" s="65"/>
      <c r="AJ956" s="65"/>
    </row>
    <row r="957" spans="2:36" ht="14.25" customHeight="1" x14ac:dyDescent="0.3">
      <c r="B957" s="65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5"/>
      <c r="AG957" s="65"/>
      <c r="AH957" s="65"/>
      <c r="AI957" s="65"/>
      <c r="AJ957" s="65"/>
    </row>
    <row r="958" spans="2:36" ht="14.25" customHeight="1" x14ac:dyDescent="0.3">
      <c r="B958" s="65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5"/>
      <c r="AG958" s="65"/>
      <c r="AH958" s="65"/>
      <c r="AI958" s="65"/>
      <c r="AJ958" s="65"/>
    </row>
    <row r="959" spans="2:36" ht="14.25" customHeight="1" x14ac:dyDescent="0.3">
      <c r="B959" s="65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5"/>
      <c r="AG959" s="65"/>
      <c r="AH959" s="65"/>
      <c r="AI959" s="65"/>
      <c r="AJ959" s="65"/>
    </row>
    <row r="960" spans="2:36" ht="14.25" customHeight="1" x14ac:dyDescent="0.3">
      <c r="B960" s="65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5"/>
      <c r="AG960" s="65"/>
      <c r="AH960" s="65"/>
      <c r="AI960" s="65"/>
      <c r="AJ960" s="65"/>
    </row>
    <row r="961" spans="2:36" ht="14.25" customHeight="1" x14ac:dyDescent="0.3">
      <c r="B961" s="65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5"/>
      <c r="AG961" s="65"/>
      <c r="AH961" s="65"/>
      <c r="AI961" s="65"/>
      <c r="AJ961" s="65"/>
    </row>
    <row r="962" spans="2:36" ht="14.25" customHeight="1" x14ac:dyDescent="0.3">
      <c r="B962" s="65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5"/>
      <c r="AG962" s="65"/>
      <c r="AH962" s="65"/>
      <c r="AI962" s="65"/>
      <c r="AJ962" s="65"/>
    </row>
    <row r="963" spans="2:36" ht="14.25" customHeight="1" x14ac:dyDescent="0.3">
      <c r="B963" s="65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5"/>
      <c r="AG963" s="65"/>
      <c r="AH963" s="65"/>
      <c r="AI963" s="65"/>
      <c r="AJ963" s="65"/>
    </row>
    <row r="964" spans="2:36" ht="14.25" customHeight="1" x14ac:dyDescent="0.3">
      <c r="B964" s="65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5"/>
      <c r="AG964" s="65"/>
      <c r="AH964" s="65"/>
      <c r="AI964" s="65"/>
      <c r="AJ964" s="65"/>
    </row>
    <row r="965" spans="2:36" ht="14.25" customHeight="1" x14ac:dyDescent="0.3">
      <c r="B965" s="65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5"/>
      <c r="AG965" s="65"/>
      <c r="AH965" s="65"/>
      <c r="AI965" s="65"/>
      <c r="AJ965" s="65"/>
    </row>
    <row r="966" spans="2:36" ht="14.25" customHeight="1" x14ac:dyDescent="0.3">
      <c r="B966" s="65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5"/>
      <c r="AG966" s="65"/>
      <c r="AH966" s="65"/>
      <c r="AI966" s="65"/>
      <c r="AJ966" s="65"/>
    </row>
    <row r="967" spans="2:36" ht="14.25" customHeight="1" x14ac:dyDescent="0.3">
      <c r="B967" s="65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5"/>
      <c r="AG967" s="65"/>
      <c r="AH967" s="65"/>
      <c r="AI967" s="65"/>
      <c r="AJ967" s="65"/>
    </row>
    <row r="968" spans="2:36" ht="14.25" customHeight="1" x14ac:dyDescent="0.3">
      <c r="B968" s="65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5"/>
      <c r="AG968" s="65"/>
      <c r="AH968" s="65"/>
      <c r="AI968" s="65"/>
      <c r="AJ968" s="65"/>
    </row>
    <row r="969" spans="2:36" ht="14.25" customHeight="1" x14ac:dyDescent="0.3">
      <c r="B969" s="65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5"/>
      <c r="AG969" s="65"/>
      <c r="AH969" s="65"/>
      <c r="AI969" s="65"/>
      <c r="AJ969" s="65"/>
    </row>
    <row r="970" spans="2:36" ht="14.25" customHeight="1" x14ac:dyDescent="0.3">
      <c r="B970" s="65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5"/>
      <c r="AG970" s="65"/>
      <c r="AH970" s="65"/>
      <c r="AI970" s="65"/>
      <c r="AJ970" s="65"/>
    </row>
    <row r="971" spans="2:36" ht="14.25" customHeight="1" x14ac:dyDescent="0.3">
      <c r="B971" s="65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5"/>
      <c r="AG971" s="65"/>
      <c r="AH971" s="65"/>
      <c r="AI971" s="65"/>
      <c r="AJ971" s="65"/>
    </row>
    <row r="972" spans="2:36" ht="14.25" customHeight="1" x14ac:dyDescent="0.3">
      <c r="B972" s="65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5"/>
      <c r="AG972" s="65"/>
      <c r="AH972" s="65"/>
      <c r="AI972" s="65"/>
      <c r="AJ972" s="65"/>
    </row>
    <row r="973" spans="2:36" ht="14.25" customHeight="1" x14ac:dyDescent="0.3">
      <c r="B973" s="65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5"/>
      <c r="AG973" s="65"/>
      <c r="AH973" s="65"/>
      <c r="AI973" s="65"/>
      <c r="AJ973" s="65"/>
    </row>
    <row r="974" spans="2:36" ht="14.25" customHeight="1" x14ac:dyDescent="0.3">
      <c r="B974" s="65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5"/>
      <c r="AG974" s="65"/>
      <c r="AH974" s="65"/>
      <c r="AI974" s="65"/>
      <c r="AJ974" s="65"/>
    </row>
    <row r="975" spans="2:36" ht="14.25" customHeight="1" x14ac:dyDescent="0.3">
      <c r="B975" s="65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5"/>
      <c r="AG975" s="65"/>
      <c r="AH975" s="65"/>
      <c r="AI975" s="65"/>
      <c r="AJ975" s="65"/>
    </row>
    <row r="976" spans="2:36" ht="14.25" customHeight="1" x14ac:dyDescent="0.3">
      <c r="B976" s="65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5"/>
      <c r="AG976" s="65"/>
      <c r="AH976" s="65"/>
      <c r="AI976" s="65"/>
      <c r="AJ976" s="65"/>
    </row>
    <row r="977" spans="2:36" ht="14.25" customHeight="1" x14ac:dyDescent="0.3">
      <c r="B977" s="65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5"/>
      <c r="AG977" s="65"/>
      <c r="AH977" s="65"/>
      <c r="AI977" s="65"/>
      <c r="AJ977" s="65"/>
    </row>
    <row r="978" spans="2:36" ht="14.25" customHeight="1" x14ac:dyDescent="0.3">
      <c r="B978" s="65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5"/>
      <c r="AG978" s="65"/>
      <c r="AH978" s="65"/>
      <c r="AI978" s="65"/>
      <c r="AJ978" s="65"/>
    </row>
    <row r="979" spans="2:36" ht="14.25" customHeight="1" x14ac:dyDescent="0.3">
      <c r="B979" s="65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5"/>
      <c r="AG979" s="65"/>
      <c r="AH979" s="65"/>
      <c r="AI979" s="65"/>
      <c r="AJ979" s="65"/>
    </row>
    <row r="980" spans="2:36" ht="14.25" customHeight="1" x14ac:dyDescent="0.3">
      <c r="B980" s="65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5"/>
      <c r="AG980" s="65"/>
      <c r="AH980" s="65"/>
      <c r="AI980" s="65"/>
      <c r="AJ980" s="65"/>
    </row>
    <row r="981" spans="2:36" ht="14.25" customHeight="1" x14ac:dyDescent="0.3">
      <c r="B981" s="65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5"/>
      <c r="AG981" s="65"/>
      <c r="AH981" s="65"/>
      <c r="AI981" s="65"/>
      <c r="AJ981" s="65"/>
    </row>
    <row r="982" spans="2:36" ht="14.25" customHeight="1" x14ac:dyDescent="0.3">
      <c r="B982" s="65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5"/>
      <c r="AG982" s="65"/>
      <c r="AH982" s="65"/>
      <c r="AI982" s="65"/>
      <c r="AJ982" s="65"/>
    </row>
    <row r="983" spans="2:36" ht="14.25" customHeight="1" x14ac:dyDescent="0.3">
      <c r="B983" s="65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5"/>
      <c r="AG983" s="65"/>
      <c r="AH983" s="65"/>
      <c r="AI983" s="65"/>
      <c r="AJ983" s="65"/>
    </row>
    <row r="984" spans="2:36" ht="14.25" customHeight="1" x14ac:dyDescent="0.3">
      <c r="B984" s="65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5"/>
      <c r="AG984" s="65"/>
      <c r="AH984" s="65"/>
      <c r="AI984" s="65"/>
      <c r="AJ984" s="65"/>
    </row>
    <row r="985" spans="2:36" ht="14.25" customHeight="1" x14ac:dyDescent="0.3">
      <c r="B985" s="65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5"/>
      <c r="AG985" s="65"/>
      <c r="AH985" s="65"/>
      <c r="AI985" s="65"/>
      <c r="AJ985" s="65"/>
    </row>
    <row r="986" spans="2:36" ht="14.25" customHeight="1" x14ac:dyDescent="0.3">
      <c r="B986" s="65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5"/>
      <c r="AG986" s="65"/>
      <c r="AH986" s="65"/>
      <c r="AI986" s="65"/>
      <c r="AJ986" s="65"/>
    </row>
    <row r="987" spans="2:36" ht="14.25" customHeight="1" x14ac:dyDescent="0.3">
      <c r="B987" s="65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5"/>
      <c r="AG987" s="65"/>
      <c r="AH987" s="65"/>
      <c r="AI987" s="65"/>
      <c r="AJ987" s="65"/>
    </row>
    <row r="988" spans="2:36" ht="14.25" customHeight="1" x14ac:dyDescent="0.3">
      <c r="B988" s="65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5"/>
      <c r="AG988" s="65"/>
      <c r="AH988" s="65"/>
      <c r="AI988" s="65"/>
      <c r="AJ988" s="65"/>
    </row>
    <row r="989" spans="2:36" ht="14.25" customHeight="1" x14ac:dyDescent="0.3">
      <c r="B989" s="65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5"/>
      <c r="AG989" s="65"/>
      <c r="AH989" s="65"/>
      <c r="AI989" s="65"/>
      <c r="AJ989" s="65"/>
    </row>
    <row r="990" spans="2:36" ht="14.25" customHeight="1" x14ac:dyDescent="0.3">
      <c r="B990" s="65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5"/>
      <c r="AG990" s="65"/>
      <c r="AH990" s="65"/>
      <c r="AI990" s="65"/>
      <c r="AJ990" s="65"/>
    </row>
    <row r="991" spans="2:36" ht="14.25" customHeight="1" x14ac:dyDescent="0.3">
      <c r="B991" s="65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5"/>
      <c r="AG991" s="65"/>
      <c r="AH991" s="65"/>
      <c r="AI991" s="65"/>
      <c r="AJ991" s="65"/>
    </row>
    <row r="992" spans="2:36" ht="14.25" customHeight="1" x14ac:dyDescent="0.3">
      <c r="B992" s="65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5"/>
      <c r="AG992" s="65"/>
      <c r="AH992" s="65"/>
      <c r="AI992" s="65"/>
      <c r="AJ992" s="65"/>
    </row>
    <row r="993" spans="2:36" ht="14.25" customHeight="1" x14ac:dyDescent="0.3">
      <c r="B993" s="65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5"/>
      <c r="AG993" s="65"/>
      <c r="AH993" s="65"/>
      <c r="AI993" s="65"/>
      <c r="AJ993" s="65"/>
    </row>
    <row r="994" spans="2:36" ht="14.25" customHeight="1" x14ac:dyDescent="0.3">
      <c r="B994" s="65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5"/>
      <c r="AG994" s="65"/>
      <c r="AH994" s="65"/>
      <c r="AI994" s="65"/>
      <c r="AJ994" s="65"/>
    </row>
    <row r="995" spans="2:36" ht="14.25" customHeight="1" x14ac:dyDescent="0.3">
      <c r="B995" s="65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5"/>
      <c r="AG995" s="65"/>
      <c r="AH995" s="65"/>
      <c r="AI995" s="65"/>
      <c r="AJ995" s="65"/>
    </row>
    <row r="996" spans="2:36" ht="14.25" customHeight="1" x14ac:dyDescent="0.3">
      <c r="B996" s="65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5"/>
      <c r="AG996" s="65"/>
      <c r="AH996" s="65"/>
      <c r="AI996" s="65"/>
      <c r="AJ996" s="65"/>
    </row>
    <row r="997" spans="2:36" ht="14.25" customHeight="1" x14ac:dyDescent="0.3">
      <c r="B997" s="65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5"/>
      <c r="AG997" s="65"/>
      <c r="AH997" s="65"/>
      <c r="AI997" s="65"/>
      <c r="AJ997" s="65"/>
    </row>
    <row r="998" spans="2:36" ht="14.25" customHeight="1" x14ac:dyDescent="0.3">
      <c r="B998" s="65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5"/>
      <c r="AG998" s="65"/>
      <c r="AH998" s="65"/>
      <c r="AI998" s="65"/>
      <c r="AJ998" s="65"/>
    </row>
    <row r="999" spans="2:36" ht="14.25" customHeight="1" x14ac:dyDescent="0.3">
      <c r="B999" s="65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5"/>
      <c r="AG999" s="65"/>
      <c r="AH999" s="65"/>
      <c r="AI999" s="65"/>
      <c r="AJ999" s="65"/>
    </row>
    <row r="1000" spans="2:36" ht="14.25" customHeight="1" x14ac:dyDescent="0.3">
      <c r="B1000" s="65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5"/>
      <c r="AG1000" s="65"/>
      <c r="AH1000" s="65"/>
      <c r="AI1000" s="65"/>
      <c r="AJ1000" s="65"/>
    </row>
  </sheetData>
  <mergeCells count="3">
    <mergeCell ref="A1:A2"/>
    <mergeCell ref="S8:U8"/>
    <mergeCell ref="S13:U13"/>
  </mergeCells>
  <hyperlinks>
    <hyperlink ref="A90" r:id="rId1" display="http://crimestat.ru/offenses_table" xr:uid="{19FA01D8-0240-4862-B8DB-85ACAF79159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topLeftCell="C63" zoomScaleNormal="100" workbookViewId="0">
      <selection activeCell="Q80" sqref="Q80"/>
    </sheetView>
  </sheetViews>
  <sheetFormatPr defaultColWidth="14.44140625" defaultRowHeight="15" customHeight="1" x14ac:dyDescent="0.3"/>
  <cols>
    <col min="1" max="1" width="28.6640625" style="28" customWidth="1"/>
    <col min="2" max="2" width="21.6640625" customWidth="1"/>
    <col min="3" max="4" width="8.6640625" customWidth="1"/>
    <col min="5" max="5" width="14.109375" customWidth="1"/>
    <col min="6" max="6" width="8.6640625" customWidth="1"/>
    <col min="7" max="12" width="11.33203125" customWidth="1"/>
    <col min="13" max="13" width="11.21875" customWidth="1"/>
    <col min="14" max="14" width="8.6640625" customWidth="1"/>
    <col min="15" max="15" width="12.6640625" customWidth="1"/>
    <col min="16" max="16" width="12.109375" customWidth="1"/>
    <col min="17" max="18" width="8.6640625" customWidth="1"/>
    <col min="19" max="21" width="20.21875" customWidth="1"/>
    <col min="22" max="26" width="8.6640625" customWidth="1"/>
    <col min="33" max="33" width="20.6640625" customWidth="1"/>
    <col min="34" max="34" width="19.77734375" customWidth="1"/>
    <col min="35" max="35" width="16.5546875" customWidth="1"/>
    <col min="36" max="36" width="23.21875" customWidth="1"/>
  </cols>
  <sheetData>
    <row r="1" spans="1:37" ht="33" customHeight="1" x14ac:dyDescent="0.3">
      <c r="A1" s="169" t="s">
        <v>0</v>
      </c>
      <c r="B1" s="10" t="s">
        <v>102</v>
      </c>
    </row>
    <row r="2" spans="1:37" thickBot="1" x14ac:dyDescent="0.35">
      <c r="A2" s="170"/>
      <c r="B2" s="11" t="s">
        <v>3</v>
      </c>
      <c r="E2" s="189" t="s">
        <v>112</v>
      </c>
      <c r="F2" s="190"/>
      <c r="G2" s="190"/>
      <c r="H2" s="190"/>
      <c r="I2" s="190"/>
      <c r="J2" s="190"/>
      <c r="K2" s="190"/>
      <c r="L2" s="190"/>
      <c r="M2" s="190"/>
      <c r="S2" s="189" t="s">
        <v>113</v>
      </c>
      <c r="T2" s="190"/>
      <c r="U2" s="190"/>
      <c r="V2" s="190"/>
      <c r="W2" s="190"/>
      <c r="X2" s="190"/>
      <c r="Y2" s="190"/>
      <c r="Z2" s="190"/>
      <c r="AC2" s="189" t="s">
        <v>115</v>
      </c>
      <c r="AD2" s="190"/>
      <c r="AE2" s="190"/>
      <c r="AF2" s="190"/>
      <c r="AG2" s="190"/>
      <c r="AH2" s="190"/>
    </row>
    <row r="3" spans="1:37" ht="14.4" x14ac:dyDescent="0.3">
      <c r="A3" s="2" t="s">
        <v>85</v>
      </c>
      <c r="B3" s="4">
        <v>784</v>
      </c>
      <c r="E3" s="190"/>
      <c r="F3" s="190"/>
      <c r="G3" s="190"/>
      <c r="H3" s="190"/>
      <c r="I3" s="190"/>
      <c r="J3" s="190"/>
      <c r="K3" s="190"/>
      <c r="L3" s="190"/>
      <c r="M3" s="190"/>
      <c r="S3" s="190"/>
      <c r="T3" s="190"/>
      <c r="U3" s="190"/>
      <c r="V3" s="190"/>
      <c r="W3" s="190"/>
      <c r="X3" s="190"/>
      <c r="Y3" s="190"/>
      <c r="Z3" s="190"/>
      <c r="AC3" s="190"/>
      <c r="AD3" s="190"/>
      <c r="AE3" s="190"/>
      <c r="AF3" s="190"/>
      <c r="AG3" s="190"/>
      <c r="AH3" s="190"/>
    </row>
    <row r="4" spans="1:37" ht="14.4" x14ac:dyDescent="0.3">
      <c r="A4" s="7" t="s">
        <v>37</v>
      </c>
      <c r="B4" s="8">
        <v>852</v>
      </c>
      <c r="E4" s="190"/>
      <c r="F4" s="190"/>
      <c r="G4" s="190"/>
      <c r="H4" s="190"/>
      <c r="I4" s="190"/>
      <c r="J4" s="190"/>
      <c r="K4" s="190"/>
      <c r="L4" s="190"/>
      <c r="M4" s="190"/>
      <c r="S4" s="190"/>
      <c r="T4" s="190"/>
      <c r="U4" s="190"/>
      <c r="V4" s="190"/>
      <c r="W4" s="190"/>
      <c r="X4" s="190"/>
      <c r="Y4" s="190"/>
      <c r="Z4" s="190"/>
      <c r="AC4" s="190"/>
      <c r="AD4" s="190"/>
      <c r="AE4" s="190"/>
      <c r="AF4" s="190"/>
      <c r="AG4" s="190"/>
      <c r="AH4" s="190"/>
    </row>
    <row r="5" spans="1:37" ht="14.4" x14ac:dyDescent="0.3">
      <c r="A5" s="7" t="s">
        <v>53</v>
      </c>
      <c r="B5" s="8">
        <v>2103</v>
      </c>
      <c r="E5" s="190"/>
      <c r="F5" s="190"/>
      <c r="G5" s="190"/>
      <c r="H5" s="190"/>
      <c r="I5" s="190"/>
      <c r="J5" s="190"/>
      <c r="K5" s="190"/>
      <c r="L5" s="190"/>
      <c r="M5" s="190"/>
      <c r="S5" s="190"/>
      <c r="T5" s="190"/>
      <c r="U5" s="190"/>
      <c r="V5" s="190"/>
      <c r="W5" s="190"/>
      <c r="X5" s="190"/>
      <c r="Y5" s="190"/>
      <c r="Z5" s="190"/>
      <c r="AC5" s="190"/>
      <c r="AD5" s="190"/>
      <c r="AE5" s="190"/>
      <c r="AF5" s="190"/>
      <c r="AG5" s="190"/>
      <c r="AH5" s="190"/>
    </row>
    <row r="6" spans="1:37" thickBot="1" x14ac:dyDescent="0.35">
      <c r="A6" s="7" t="s">
        <v>34</v>
      </c>
      <c r="B6" s="8">
        <v>2562</v>
      </c>
    </row>
    <row r="7" spans="1:37" thickBot="1" x14ac:dyDescent="0.35">
      <c r="A7" s="7" t="s">
        <v>54</v>
      </c>
      <c r="B7" s="8">
        <v>2940</v>
      </c>
      <c r="F7" s="12"/>
      <c r="H7" s="13"/>
      <c r="S7" s="198" t="s">
        <v>108</v>
      </c>
      <c r="T7" s="199"/>
      <c r="U7" s="200"/>
      <c r="AB7" s="30" t="s">
        <v>120</v>
      </c>
      <c r="AC7" s="58">
        <f>AVERAGE(AB11:AB92)</f>
        <v>20263.121951219513</v>
      </c>
    </row>
    <row r="8" spans="1:37" thickBot="1" x14ac:dyDescent="0.35">
      <c r="A8" s="7" t="s">
        <v>83</v>
      </c>
      <c r="B8" s="8">
        <v>3128</v>
      </c>
      <c r="E8" s="1" t="s">
        <v>91</v>
      </c>
      <c r="F8" s="25">
        <v>82</v>
      </c>
      <c r="H8" s="1" t="s">
        <v>92</v>
      </c>
      <c r="I8" s="1" t="s">
        <v>93</v>
      </c>
      <c r="J8" s="1" t="s">
        <v>94</v>
      </c>
      <c r="K8" s="1" t="s">
        <v>95</v>
      </c>
      <c r="L8" s="20" t="s">
        <v>111</v>
      </c>
      <c r="M8" s="19" t="s">
        <v>110</v>
      </c>
      <c r="O8" s="21" t="s">
        <v>109</v>
      </c>
      <c r="P8" s="27">
        <f>SUM(M9:M15)</f>
        <v>1469643.142857143</v>
      </c>
      <c r="S8" s="18" t="s">
        <v>105</v>
      </c>
      <c r="T8" s="17" t="s">
        <v>104</v>
      </c>
      <c r="U8" s="17" t="s">
        <v>103</v>
      </c>
    </row>
    <row r="9" spans="1:37" ht="72" x14ac:dyDescent="0.3">
      <c r="A9" s="7" t="s">
        <v>16</v>
      </c>
      <c r="B9" s="8">
        <v>3323</v>
      </c>
      <c r="E9" s="1" t="s">
        <v>96</v>
      </c>
      <c r="F9" s="14">
        <f>MIN(B:B)</f>
        <v>784</v>
      </c>
      <c r="H9" s="26">
        <f>F9</f>
        <v>784</v>
      </c>
      <c r="I9" s="26">
        <f t="shared" ref="I9:I15" si="0">H9+$F$13</f>
        <v>8455.4285714285725</v>
      </c>
      <c r="J9" s="26">
        <f t="shared" ref="J9:J15" si="1">AVERAGE(H9:I9)</f>
        <v>4619.7142857142862</v>
      </c>
      <c r="K9" s="1">
        <f t="array" ref="K9:K15">FREQUENCY(B3:B83,I9:I15)</f>
        <v>18</v>
      </c>
      <c r="L9" s="22">
        <f>K9</f>
        <v>18</v>
      </c>
      <c r="M9" s="22">
        <f t="shared" ref="M9:M15" si="2">J9*K9</f>
        <v>83154.857142857159</v>
      </c>
      <c r="O9" s="29" t="s">
        <v>128</v>
      </c>
      <c r="P9">
        <f>P8/F8</f>
        <v>17922.477351916379</v>
      </c>
      <c r="S9" s="22">
        <f>AVERAGE(B3:B83)</f>
        <v>18670.683544303796</v>
      </c>
      <c r="T9" s="24" t="s">
        <v>107</v>
      </c>
      <c r="U9" s="22">
        <f>MEDIAN(B3:B83)</f>
        <v>14202</v>
      </c>
      <c r="AB9" s="191" t="s">
        <v>121</v>
      </c>
      <c r="AC9" s="192"/>
      <c r="AD9" s="192"/>
      <c r="AE9" s="193"/>
      <c r="AG9" s="194" t="s">
        <v>122</v>
      </c>
      <c r="AH9" s="195"/>
      <c r="AI9" s="195"/>
      <c r="AJ9" s="195"/>
      <c r="AK9" s="196"/>
    </row>
    <row r="10" spans="1:37" ht="16.2" thickBot="1" x14ac:dyDescent="0.4">
      <c r="A10" s="7" t="s">
        <v>24</v>
      </c>
      <c r="B10" s="8">
        <v>4345</v>
      </c>
      <c r="E10" s="1" t="s">
        <v>97</v>
      </c>
      <c r="F10" s="1">
        <f>MAX(B:B)</f>
        <v>54484</v>
      </c>
      <c r="H10" s="26">
        <f t="shared" ref="H10:H15" si="3">I9</f>
        <v>8455.4285714285725</v>
      </c>
      <c r="I10" s="26">
        <f t="shared" si="0"/>
        <v>16126.857142857145</v>
      </c>
      <c r="J10" s="26">
        <f t="shared" si="1"/>
        <v>12291.142857142859</v>
      </c>
      <c r="K10" s="1">
        <v>28</v>
      </c>
      <c r="L10" s="23">
        <f t="shared" ref="L10:L15" si="4">L9+K10</f>
        <v>46</v>
      </c>
      <c r="M10" s="22">
        <f t="shared" si="2"/>
        <v>344152.00000000006</v>
      </c>
      <c r="AB10" s="34" t="s">
        <v>116</v>
      </c>
      <c r="AC10" s="35" t="s">
        <v>117</v>
      </c>
      <c r="AD10" s="35" t="s">
        <v>118</v>
      </c>
      <c r="AE10" s="36" t="s">
        <v>119</v>
      </c>
      <c r="AG10" s="39" t="s">
        <v>125</v>
      </c>
      <c r="AH10" s="37" t="s">
        <v>126</v>
      </c>
      <c r="AI10" s="37" t="s">
        <v>127</v>
      </c>
      <c r="AJ10" s="37" t="s">
        <v>123</v>
      </c>
      <c r="AK10" s="40" t="s">
        <v>124</v>
      </c>
    </row>
    <row r="11" spans="1:37" thickBot="1" x14ac:dyDescent="0.35">
      <c r="A11" s="7" t="s">
        <v>48</v>
      </c>
      <c r="B11" s="8">
        <v>4496</v>
      </c>
      <c r="E11" s="1" t="s">
        <v>98</v>
      </c>
      <c r="F11" s="14">
        <f>F10-F9</f>
        <v>53700</v>
      </c>
      <c r="H11" s="26">
        <f t="shared" si="3"/>
        <v>16126.857142857145</v>
      </c>
      <c r="I11" s="26">
        <f t="shared" si="0"/>
        <v>23798.285714285717</v>
      </c>
      <c r="J11" s="26">
        <f t="shared" si="1"/>
        <v>19962.571428571431</v>
      </c>
      <c r="K11" s="1">
        <v>12</v>
      </c>
      <c r="L11" s="23">
        <f t="shared" si="4"/>
        <v>58</v>
      </c>
      <c r="M11" s="22">
        <f t="shared" si="2"/>
        <v>239550.85714285716</v>
      </c>
      <c r="S11" s="198" t="s">
        <v>106</v>
      </c>
      <c r="T11" s="199"/>
      <c r="U11" s="200"/>
      <c r="AB11" s="31">
        <v>784</v>
      </c>
      <c r="AC11" s="38">
        <f t="shared" ref="AC11:AC42" si="5">AB11-AC$7</f>
        <v>-19479.121951219513</v>
      </c>
      <c r="AD11" s="38">
        <f>ABS(AC11)</f>
        <v>19479.121951219513</v>
      </c>
      <c r="AE11" s="42">
        <f>POWER(AD11,2)</f>
        <v>379436191.99048191</v>
      </c>
      <c r="AG11" s="41">
        <f>J9-P$9</f>
        <v>-13302.763066202093</v>
      </c>
      <c r="AH11" s="38">
        <f>ABS(AG11)</f>
        <v>13302.763066202093</v>
      </c>
      <c r="AI11" s="38">
        <f>POWER(AH11,2)</f>
        <v>176963505.19551051</v>
      </c>
      <c r="AJ11" s="38">
        <f>AI11*K9</f>
        <v>3185343093.5191889</v>
      </c>
      <c r="AK11" s="42">
        <f>AH11*K9</f>
        <v>239449.73519163768</v>
      </c>
    </row>
    <row r="12" spans="1:37" thickBot="1" x14ac:dyDescent="0.35">
      <c r="A12" s="7" t="s">
        <v>49</v>
      </c>
      <c r="B12" s="8">
        <v>4762</v>
      </c>
      <c r="E12" s="1" t="s">
        <v>99</v>
      </c>
      <c r="F12" s="1">
        <f>ROUNDDOWN(1 +LOG10(F8)/LOG10(2), 0)</f>
        <v>7</v>
      </c>
      <c r="H12" s="26">
        <f t="shared" si="3"/>
        <v>23798.285714285717</v>
      </c>
      <c r="I12" s="26">
        <f t="shared" si="0"/>
        <v>31469.71428571429</v>
      </c>
      <c r="J12" s="26">
        <f t="shared" si="1"/>
        <v>27634.000000000004</v>
      </c>
      <c r="K12" s="1">
        <v>7</v>
      </c>
      <c r="L12" s="23">
        <f t="shared" si="4"/>
        <v>65</v>
      </c>
      <c r="M12" s="22">
        <f t="shared" si="2"/>
        <v>193438.00000000003</v>
      </c>
      <c r="S12" s="18" t="s">
        <v>105</v>
      </c>
      <c r="T12" s="17" t="s">
        <v>104</v>
      </c>
      <c r="U12" s="16" t="s">
        <v>103</v>
      </c>
      <c r="AB12" s="31">
        <v>852</v>
      </c>
      <c r="AC12" s="38">
        <f t="shared" si="5"/>
        <v>-19411.121951219513</v>
      </c>
      <c r="AD12" s="38">
        <f t="shared" ref="AD12:AD75" si="6">ABS(AC12)</f>
        <v>19411.121951219513</v>
      </c>
      <c r="AE12" s="42">
        <f t="shared" ref="AE12:AE75" si="7">POWER(AD12,2)</f>
        <v>376791655.40511602</v>
      </c>
      <c r="AG12" s="41">
        <f t="shared" ref="AG12:AG17" si="8">J10-P$9</f>
        <v>-5631.3344947735204</v>
      </c>
      <c r="AH12" s="38">
        <f t="shared" ref="AH12:AH17" si="9">ABS(AG12)</f>
        <v>5631.3344947735204</v>
      </c>
      <c r="AI12" s="38">
        <f t="shared" ref="AI12:AI17" si="10">POWER(AH12,2)</f>
        <v>31711928.192026142</v>
      </c>
      <c r="AJ12" s="38">
        <f t="shared" ref="AJ12:AJ17" si="11">AI12*K10</f>
        <v>887933989.37673199</v>
      </c>
      <c r="AK12" s="42">
        <f t="shared" ref="AK12:AK17" si="12">AH12*K10</f>
        <v>157677.36585365859</v>
      </c>
    </row>
    <row r="13" spans="1:37" ht="14.4" x14ac:dyDescent="0.3">
      <c r="A13" s="7" t="s">
        <v>23</v>
      </c>
      <c r="B13" s="8">
        <v>5909</v>
      </c>
      <c r="E13" s="1" t="s">
        <v>100</v>
      </c>
      <c r="F13" s="14">
        <f>F11/F12</f>
        <v>7671.4285714285716</v>
      </c>
      <c r="H13" s="26">
        <f t="shared" si="3"/>
        <v>31469.71428571429</v>
      </c>
      <c r="I13" s="26">
        <f t="shared" si="0"/>
        <v>39141.142857142862</v>
      </c>
      <c r="J13" s="26">
        <f t="shared" si="1"/>
        <v>35305.42857142858</v>
      </c>
      <c r="K13" s="1">
        <v>4</v>
      </c>
      <c r="L13" s="23">
        <f t="shared" si="4"/>
        <v>69</v>
      </c>
      <c r="M13" s="22">
        <f t="shared" si="2"/>
        <v>141221.71428571432</v>
      </c>
      <c r="S13" s="22">
        <f>P8/F8</f>
        <v>17922.477351916379</v>
      </c>
      <c r="T13" s="22">
        <f>H10+F13*(K10-K9)/(K11-K9+K10-K11)</f>
        <v>16126.857142857143</v>
      </c>
      <c r="U13" s="22">
        <f>H10+F13*(F8/2-L9)/L10</f>
        <v>12291.142857142859</v>
      </c>
      <c r="AB13" s="31">
        <v>2103</v>
      </c>
      <c r="AC13" s="38">
        <f t="shared" si="5"/>
        <v>-18160.121951219513</v>
      </c>
      <c r="AD13" s="38">
        <f t="shared" si="6"/>
        <v>18160.121951219513</v>
      </c>
      <c r="AE13" s="42">
        <f t="shared" si="7"/>
        <v>329790029.2831648</v>
      </c>
      <c r="AG13" s="41">
        <f t="shared" si="8"/>
        <v>2040.094076655052</v>
      </c>
      <c r="AH13" s="38">
        <f t="shared" si="9"/>
        <v>2040.094076655052</v>
      </c>
      <c r="AI13" s="38">
        <f t="shared" si="10"/>
        <v>4161983.8416030295</v>
      </c>
      <c r="AJ13" s="38">
        <f t="shared" si="11"/>
        <v>49943806.099236354</v>
      </c>
      <c r="AK13" s="42">
        <f t="shared" si="12"/>
        <v>24481.128919860625</v>
      </c>
    </row>
    <row r="14" spans="1:37" ht="14.4" x14ac:dyDescent="0.3">
      <c r="A14" s="7" t="s">
        <v>90</v>
      </c>
      <c r="B14" s="8">
        <v>6136</v>
      </c>
      <c r="H14" s="26">
        <f t="shared" si="3"/>
        <v>39141.142857142862</v>
      </c>
      <c r="I14" s="26">
        <f t="shared" si="0"/>
        <v>46812.571428571435</v>
      </c>
      <c r="J14" s="26">
        <f t="shared" si="1"/>
        <v>42976.857142857145</v>
      </c>
      <c r="K14" s="1">
        <v>5</v>
      </c>
      <c r="L14" s="23">
        <f t="shared" si="4"/>
        <v>74</v>
      </c>
      <c r="M14" s="22">
        <f t="shared" si="2"/>
        <v>214884.28571428574</v>
      </c>
      <c r="AB14" s="31">
        <v>2562</v>
      </c>
      <c r="AC14" s="38">
        <f t="shared" si="5"/>
        <v>-17701.121951219513</v>
      </c>
      <c r="AD14" s="38">
        <f t="shared" si="6"/>
        <v>17701.121951219513</v>
      </c>
      <c r="AE14" s="42">
        <f t="shared" si="7"/>
        <v>313329718.3319453</v>
      </c>
      <c r="AG14" s="41">
        <f t="shared" si="8"/>
        <v>9711.5226480836245</v>
      </c>
      <c r="AH14" s="38">
        <f t="shared" si="9"/>
        <v>9711.5226480836245</v>
      </c>
      <c r="AI14" s="38">
        <f t="shared" si="10"/>
        <v>94313672.144241169</v>
      </c>
      <c r="AJ14" s="38">
        <f t="shared" si="11"/>
        <v>660195705.00968814</v>
      </c>
      <c r="AK14" s="42">
        <f t="shared" si="12"/>
        <v>67980.658536585368</v>
      </c>
    </row>
    <row r="15" spans="1:37" ht="14.4" x14ac:dyDescent="0.3">
      <c r="A15" s="7" t="s">
        <v>86</v>
      </c>
      <c r="B15" s="8">
        <v>6961</v>
      </c>
      <c r="H15" s="26">
        <f t="shared" si="3"/>
        <v>46812.571428571435</v>
      </c>
      <c r="I15" s="26">
        <f t="shared" si="0"/>
        <v>54484.000000000007</v>
      </c>
      <c r="J15" s="26">
        <f t="shared" si="1"/>
        <v>50648.285714285725</v>
      </c>
      <c r="K15" s="1">
        <v>5</v>
      </c>
      <c r="L15" s="23">
        <f t="shared" si="4"/>
        <v>79</v>
      </c>
      <c r="M15" s="22">
        <f t="shared" si="2"/>
        <v>253241.42857142864</v>
      </c>
      <c r="AB15" s="31">
        <v>2940</v>
      </c>
      <c r="AC15" s="38">
        <f t="shared" si="5"/>
        <v>-17323.121951219513</v>
      </c>
      <c r="AD15" s="38">
        <f t="shared" si="6"/>
        <v>17323.121951219513</v>
      </c>
      <c r="AE15" s="42">
        <f t="shared" si="7"/>
        <v>300090554.13682336</v>
      </c>
      <c r="AG15" s="41">
        <f t="shared" si="8"/>
        <v>17382.951219512201</v>
      </c>
      <c r="AH15" s="38">
        <f t="shared" si="9"/>
        <v>17382.951219512201</v>
      </c>
      <c r="AI15" s="38">
        <f t="shared" si="10"/>
        <v>302166993.09994072</v>
      </c>
      <c r="AJ15" s="38">
        <f t="shared" si="11"/>
        <v>1208667972.3997629</v>
      </c>
      <c r="AK15" s="42">
        <f t="shared" si="12"/>
        <v>69531.804878048802</v>
      </c>
    </row>
    <row r="16" spans="1:37" ht="14.4" x14ac:dyDescent="0.3">
      <c r="A16" s="7" t="s">
        <v>20</v>
      </c>
      <c r="B16" s="8">
        <v>7557</v>
      </c>
      <c r="AB16" s="31">
        <v>3128</v>
      </c>
      <c r="AC16" s="38">
        <f t="shared" si="5"/>
        <v>-17135.121951219513</v>
      </c>
      <c r="AD16" s="38">
        <f t="shared" si="6"/>
        <v>17135.121951219513</v>
      </c>
      <c r="AE16" s="42">
        <f t="shared" si="7"/>
        <v>293612404.2831648</v>
      </c>
      <c r="AG16" s="41">
        <f t="shared" si="8"/>
        <v>25054.379790940766</v>
      </c>
      <c r="AH16" s="38">
        <f t="shared" si="9"/>
        <v>25054.379790940766</v>
      </c>
      <c r="AI16" s="38">
        <f t="shared" si="10"/>
        <v>627721946.70870101</v>
      </c>
      <c r="AJ16" s="38">
        <f t="shared" si="11"/>
        <v>3138609733.5435052</v>
      </c>
      <c r="AK16" s="42">
        <f t="shared" si="12"/>
        <v>125271.89895470382</v>
      </c>
    </row>
    <row r="17" spans="1:37" ht="18" customHeight="1" thickBot="1" x14ac:dyDescent="0.35">
      <c r="A17" s="7" t="s">
        <v>58</v>
      </c>
      <c r="B17" s="8">
        <v>7656</v>
      </c>
      <c r="S17" s="201" t="s">
        <v>114</v>
      </c>
      <c r="T17" s="201"/>
      <c r="U17" s="201"/>
      <c r="AB17" s="31">
        <v>3323</v>
      </c>
      <c r="AC17" s="38">
        <f t="shared" si="5"/>
        <v>-16940.121951219513</v>
      </c>
      <c r="AD17" s="38">
        <f t="shared" si="6"/>
        <v>16940.121951219513</v>
      </c>
      <c r="AE17" s="42">
        <f t="shared" si="7"/>
        <v>286967731.72218919</v>
      </c>
      <c r="AG17" s="41">
        <f t="shared" si="8"/>
        <v>32725.808362369346</v>
      </c>
      <c r="AH17" s="43">
        <f t="shared" si="9"/>
        <v>32725.808362369346</v>
      </c>
      <c r="AI17" s="43">
        <f t="shared" si="10"/>
        <v>1070978532.9705234</v>
      </c>
      <c r="AJ17" s="43">
        <f t="shared" si="11"/>
        <v>5354892664.8526173</v>
      </c>
      <c r="AK17" s="44">
        <f t="shared" si="12"/>
        <v>163629.04181184672</v>
      </c>
    </row>
    <row r="18" spans="1:37" ht="14.4" customHeight="1" x14ac:dyDescent="0.3">
      <c r="A18" s="7" t="s">
        <v>43</v>
      </c>
      <c r="B18" s="8">
        <v>8151</v>
      </c>
      <c r="S18" s="201"/>
      <c r="T18" s="201"/>
      <c r="U18" s="201"/>
      <c r="AB18" s="31">
        <v>4345</v>
      </c>
      <c r="AC18" s="38">
        <f t="shared" si="5"/>
        <v>-15918.121951219513</v>
      </c>
      <c r="AD18" s="38">
        <f t="shared" si="6"/>
        <v>15918.121951219513</v>
      </c>
      <c r="AE18" s="42">
        <f t="shared" si="7"/>
        <v>253386606.45389652</v>
      </c>
    </row>
    <row r="19" spans="1:37" ht="14.4" customHeight="1" thickBot="1" x14ac:dyDescent="0.35">
      <c r="A19" s="7" t="s">
        <v>61</v>
      </c>
      <c r="B19" s="8">
        <v>8152</v>
      </c>
      <c r="S19" s="201"/>
      <c r="T19" s="201"/>
      <c r="U19" s="201"/>
      <c r="AB19" s="31">
        <v>4496</v>
      </c>
      <c r="AC19" s="38">
        <f t="shared" si="5"/>
        <v>-15767.121951219513</v>
      </c>
      <c r="AD19" s="38">
        <f t="shared" si="6"/>
        <v>15767.121951219513</v>
      </c>
      <c r="AE19" s="42">
        <f t="shared" si="7"/>
        <v>248602134.62462822</v>
      </c>
    </row>
    <row r="20" spans="1:37" ht="14.4" customHeight="1" x14ac:dyDescent="0.3">
      <c r="A20" s="7" t="s">
        <v>47</v>
      </c>
      <c r="B20" s="8">
        <v>8377</v>
      </c>
      <c r="S20" s="201"/>
      <c r="T20" s="201"/>
      <c r="U20" s="201"/>
      <c r="AB20" s="31">
        <v>4762</v>
      </c>
      <c r="AC20" s="38">
        <f t="shared" si="5"/>
        <v>-15501.121951219513</v>
      </c>
      <c r="AD20" s="38">
        <f t="shared" si="6"/>
        <v>15501.121951219513</v>
      </c>
      <c r="AE20" s="42">
        <f t="shared" si="7"/>
        <v>240284781.74657944</v>
      </c>
      <c r="AG20" s="183" t="s">
        <v>129</v>
      </c>
      <c r="AH20" s="184"/>
      <c r="AI20" s="184"/>
      <c r="AJ20" s="185"/>
      <c r="AK20" s="45"/>
    </row>
    <row r="21" spans="1:37" ht="15.75" customHeight="1" x14ac:dyDescent="0.3">
      <c r="A21" s="7" t="s">
        <v>63</v>
      </c>
      <c r="B21" s="8">
        <v>8483</v>
      </c>
      <c r="S21" s="201"/>
      <c r="T21" s="201"/>
      <c r="U21" s="201"/>
      <c r="AB21" s="31">
        <v>5909</v>
      </c>
      <c r="AC21" s="38">
        <f t="shared" si="5"/>
        <v>-14354.121951219513</v>
      </c>
      <c r="AD21" s="38">
        <f t="shared" si="6"/>
        <v>14354.121951219513</v>
      </c>
      <c r="AE21" s="42">
        <f t="shared" si="7"/>
        <v>206040816.99048188</v>
      </c>
      <c r="AG21" s="186"/>
      <c r="AH21" s="187"/>
      <c r="AI21" s="187"/>
      <c r="AJ21" s="188"/>
      <c r="AK21" s="45"/>
    </row>
    <row r="22" spans="1:37" ht="15.75" customHeight="1" x14ac:dyDescent="0.3">
      <c r="A22" s="7" t="s">
        <v>59</v>
      </c>
      <c r="B22" s="8">
        <v>8533</v>
      </c>
      <c r="S22" s="201"/>
      <c r="T22" s="201"/>
      <c r="U22" s="201"/>
      <c r="AB22" s="31">
        <v>6136</v>
      </c>
      <c r="AC22" s="38">
        <f t="shared" si="5"/>
        <v>-14127.121951219513</v>
      </c>
      <c r="AD22" s="38">
        <f t="shared" si="6"/>
        <v>14127.121951219513</v>
      </c>
      <c r="AE22" s="42">
        <f t="shared" si="7"/>
        <v>199575574.62462822</v>
      </c>
      <c r="AG22" s="181" t="s">
        <v>130</v>
      </c>
      <c r="AH22" s="182" t="s">
        <v>131</v>
      </c>
      <c r="AI22" s="182"/>
      <c r="AJ22" s="176" t="s">
        <v>134</v>
      </c>
    </row>
    <row r="23" spans="1:37" ht="15.75" customHeight="1" x14ac:dyDescent="0.3">
      <c r="A23" s="7" t="s">
        <v>69</v>
      </c>
      <c r="B23" s="8">
        <v>8876</v>
      </c>
      <c r="S23" s="201"/>
      <c r="T23" s="201"/>
      <c r="U23" s="201"/>
      <c r="AB23" s="31">
        <v>6961</v>
      </c>
      <c r="AC23" s="38">
        <f t="shared" si="5"/>
        <v>-13302.121951219513</v>
      </c>
      <c r="AD23" s="38">
        <f t="shared" si="6"/>
        <v>13302.121951219513</v>
      </c>
      <c r="AE23" s="42">
        <f t="shared" si="7"/>
        <v>176946448.40511602</v>
      </c>
      <c r="AG23" s="181"/>
      <c r="AH23" s="46" t="s">
        <v>132</v>
      </c>
      <c r="AI23" s="46" t="s">
        <v>133</v>
      </c>
      <c r="AJ23" s="176"/>
    </row>
    <row r="24" spans="1:37" ht="15.75" customHeight="1" x14ac:dyDescent="0.3">
      <c r="A24" s="7" t="s">
        <v>27</v>
      </c>
      <c r="B24" s="8">
        <v>8927</v>
      </c>
      <c r="S24" s="201"/>
      <c r="T24" s="201"/>
      <c r="U24" s="201"/>
      <c r="AB24" s="31">
        <v>7557</v>
      </c>
      <c r="AC24" s="38">
        <f t="shared" si="5"/>
        <v>-12706.121951219513</v>
      </c>
      <c r="AD24" s="38">
        <f t="shared" si="6"/>
        <v>12706.121951219513</v>
      </c>
      <c r="AE24" s="42">
        <f t="shared" si="7"/>
        <v>161445535.03926235</v>
      </c>
      <c r="AG24" s="48" t="s">
        <v>135</v>
      </c>
      <c r="AH24" s="47">
        <f>SUM(B3:B83)/COUNT(B3:B83)</f>
        <v>18670.683544303796</v>
      </c>
      <c r="AI24" s="38">
        <f>AVERAGE(B3:B83)</f>
        <v>18670.683544303796</v>
      </c>
      <c r="AJ24" s="42">
        <f>AC7</f>
        <v>20263.121951219513</v>
      </c>
    </row>
    <row r="25" spans="1:37" ht="15.75" customHeight="1" x14ac:dyDescent="0.3">
      <c r="A25" s="7" t="s">
        <v>66</v>
      </c>
      <c r="B25" s="8">
        <v>9151</v>
      </c>
      <c r="S25" s="201"/>
      <c r="T25" s="201"/>
      <c r="U25" s="201"/>
      <c r="AB25" s="31">
        <v>7656</v>
      </c>
      <c r="AC25" s="38">
        <f t="shared" si="5"/>
        <v>-12607.121951219513</v>
      </c>
      <c r="AD25" s="38">
        <f t="shared" si="6"/>
        <v>12607.121951219513</v>
      </c>
      <c r="AE25" s="42">
        <f t="shared" si="7"/>
        <v>158939523.89292091</v>
      </c>
      <c r="AG25" s="49" t="s">
        <v>139</v>
      </c>
      <c r="AH25" s="38">
        <f>SUM(AE11:AE92)/COUNT(AE11:AE92)</f>
        <v>244799270.44854254</v>
      </c>
      <c r="AI25" s="38">
        <f>VARP(B3:B83)</f>
        <v>184486720.62137479</v>
      </c>
      <c r="AJ25" s="42">
        <f>SUM(AJ11:AJ17)/F8</f>
        <v>176653499.57074064</v>
      </c>
    </row>
    <row r="26" spans="1:37" ht="15.75" customHeight="1" x14ac:dyDescent="0.3">
      <c r="A26" s="7" t="s">
        <v>39</v>
      </c>
      <c r="B26" s="8">
        <v>10630</v>
      </c>
      <c r="S26" s="201"/>
      <c r="T26" s="201"/>
      <c r="U26" s="201"/>
      <c r="AB26" s="31">
        <v>8151</v>
      </c>
      <c r="AC26" s="38">
        <f t="shared" si="5"/>
        <v>-12112.121951219513</v>
      </c>
      <c r="AD26" s="38">
        <f t="shared" si="6"/>
        <v>12112.121951219513</v>
      </c>
      <c r="AE26" s="42">
        <f t="shared" si="7"/>
        <v>146703498.16121358</v>
      </c>
      <c r="AG26" s="49" t="s">
        <v>140</v>
      </c>
      <c r="AH26" s="38">
        <f>SQRT(AH25)</f>
        <v>15646.062458284594</v>
      </c>
      <c r="AI26" s="38">
        <f>STDEVP(B3:B83)</f>
        <v>13582.588877727794</v>
      </c>
      <c r="AJ26" s="42">
        <f>SQRT(AJ25)</f>
        <v>13291.10603263478</v>
      </c>
    </row>
    <row r="27" spans="1:37" ht="15.75" customHeight="1" x14ac:dyDescent="0.3">
      <c r="A27" s="7" t="s">
        <v>64</v>
      </c>
      <c r="B27" s="8">
        <v>11024</v>
      </c>
      <c r="S27" s="201"/>
      <c r="T27" s="201"/>
      <c r="U27" s="201"/>
      <c r="AB27" s="31">
        <v>8152</v>
      </c>
      <c r="AC27" s="38">
        <f t="shared" si="5"/>
        <v>-12111.121951219513</v>
      </c>
      <c r="AD27" s="38">
        <f t="shared" si="6"/>
        <v>12111.121951219513</v>
      </c>
      <c r="AE27" s="42">
        <f t="shared" si="7"/>
        <v>146679274.91731113</v>
      </c>
      <c r="AG27" s="49" t="s">
        <v>141</v>
      </c>
      <c r="AH27" s="38">
        <f>SUM(AD11:AD92)/COUNT(AD11:AD92)</f>
        <v>12290.130279595478</v>
      </c>
      <c r="AI27" s="38">
        <f>AVEDEV(B3:B83)</f>
        <v>10669.667360999847</v>
      </c>
      <c r="AJ27" s="42">
        <f>SUM(AK11:AK17)/F8</f>
        <v>10341.727245687092</v>
      </c>
    </row>
    <row r="28" spans="1:37" ht="15.6" customHeight="1" x14ac:dyDescent="0.3">
      <c r="A28" s="7" t="s">
        <v>18</v>
      </c>
      <c r="B28" s="8">
        <v>12064</v>
      </c>
      <c r="S28" s="201"/>
      <c r="T28" s="201"/>
      <c r="U28" s="201"/>
      <c r="AB28" s="31">
        <v>8377</v>
      </c>
      <c r="AC28" s="38">
        <f t="shared" si="5"/>
        <v>-11886.121951219513</v>
      </c>
      <c r="AD28" s="38">
        <f t="shared" si="6"/>
        <v>11886.121951219513</v>
      </c>
      <c r="AE28" s="42">
        <f t="shared" si="7"/>
        <v>141279895.03926235</v>
      </c>
      <c r="AG28" s="49" t="s">
        <v>142</v>
      </c>
      <c r="AH28" s="174">
        <f>F11</f>
        <v>53700</v>
      </c>
      <c r="AI28" s="174"/>
      <c r="AJ28" s="42">
        <f>F11</f>
        <v>53700</v>
      </c>
    </row>
    <row r="29" spans="1:37" ht="36" customHeight="1" x14ac:dyDescent="0.3">
      <c r="A29" s="7" t="s">
        <v>36</v>
      </c>
      <c r="B29" s="8">
        <v>12096</v>
      </c>
      <c r="S29" s="201"/>
      <c r="T29" s="201"/>
      <c r="U29" s="201"/>
      <c r="AB29" s="31">
        <v>8483</v>
      </c>
      <c r="AC29" s="38">
        <f t="shared" si="5"/>
        <v>-11780.121951219513</v>
      </c>
      <c r="AD29" s="38">
        <f t="shared" si="6"/>
        <v>11780.121951219513</v>
      </c>
      <c r="AE29" s="42">
        <f t="shared" si="7"/>
        <v>138771273.18560383</v>
      </c>
      <c r="AG29" s="49" t="s">
        <v>136</v>
      </c>
      <c r="AH29" s="174">
        <f>AH28/AI24*100</f>
        <v>287.61667923177475</v>
      </c>
      <c r="AI29" s="174"/>
      <c r="AJ29" s="42">
        <f>AJ28/AI24*100</f>
        <v>287.61667923177475</v>
      </c>
    </row>
    <row r="30" spans="1:37" ht="36" customHeight="1" x14ac:dyDescent="0.3">
      <c r="A30" s="7" t="s">
        <v>79</v>
      </c>
      <c r="B30" s="8">
        <v>12276</v>
      </c>
      <c r="S30" s="201"/>
      <c r="T30" s="201"/>
      <c r="U30" s="201"/>
      <c r="AB30" s="31">
        <v>8533</v>
      </c>
      <c r="AC30" s="38">
        <f t="shared" si="5"/>
        <v>-11730.121951219513</v>
      </c>
      <c r="AD30" s="38">
        <f t="shared" si="6"/>
        <v>11730.121951219513</v>
      </c>
      <c r="AE30" s="42">
        <f t="shared" si="7"/>
        <v>137595760.99048188</v>
      </c>
      <c r="AG30" s="49" t="s">
        <v>137</v>
      </c>
      <c r="AH30" s="174">
        <f>AH27/AI24*100</f>
        <v>65.825818591119827</v>
      </c>
      <c r="AI30" s="174"/>
      <c r="AJ30" s="42">
        <f>AJ27/AI24*100</f>
        <v>55.390190836597576</v>
      </c>
    </row>
    <row r="31" spans="1:37" ht="15.75" customHeight="1" thickBot="1" x14ac:dyDescent="0.35">
      <c r="A31" s="7" t="s">
        <v>84</v>
      </c>
      <c r="B31" s="8">
        <v>12567</v>
      </c>
      <c r="S31" s="201"/>
      <c r="T31" s="201"/>
      <c r="U31" s="201"/>
      <c r="AB31" s="31">
        <v>8876</v>
      </c>
      <c r="AC31" s="38">
        <f t="shared" si="5"/>
        <v>-11387.121951219513</v>
      </c>
      <c r="AD31" s="38">
        <f t="shared" si="6"/>
        <v>11387.121951219513</v>
      </c>
      <c r="AE31" s="42">
        <f t="shared" si="7"/>
        <v>129666546.33194529</v>
      </c>
      <c r="AG31" s="50" t="s">
        <v>138</v>
      </c>
      <c r="AH31" s="175">
        <f>AI26/AI24*100</f>
        <v>72.748214308798993</v>
      </c>
      <c r="AI31" s="175"/>
      <c r="AJ31" s="44">
        <f>AJ26/AI24*100</f>
        <v>71.187035017203414</v>
      </c>
    </row>
    <row r="32" spans="1:37" ht="15.75" customHeight="1" x14ac:dyDescent="0.3">
      <c r="A32" s="7" t="s">
        <v>60</v>
      </c>
      <c r="B32" s="8">
        <v>13005</v>
      </c>
      <c r="S32" s="201"/>
      <c r="T32" s="201"/>
      <c r="U32" s="201"/>
      <c r="AB32" s="31">
        <v>8927</v>
      </c>
      <c r="AC32" s="38">
        <f t="shared" si="5"/>
        <v>-11336.121951219513</v>
      </c>
      <c r="AD32" s="38">
        <f t="shared" si="6"/>
        <v>11336.121951219513</v>
      </c>
      <c r="AE32" s="42">
        <f t="shared" si="7"/>
        <v>128507660.8929209</v>
      </c>
    </row>
    <row r="33" spans="1:36" ht="15.75" customHeight="1" thickBot="1" x14ac:dyDescent="0.35">
      <c r="A33" s="7" t="s">
        <v>33</v>
      </c>
      <c r="B33" s="8">
        <v>13073</v>
      </c>
      <c r="S33" s="201"/>
      <c r="T33" s="201"/>
      <c r="U33" s="201"/>
      <c r="AB33" s="31">
        <v>9151</v>
      </c>
      <c r="AC33" s="38">
        <f t="shared" si="5"/>
        <v>-11112.121951219513</v>
      </c>
      <c r="AD33" s="38">
        <f t="shared" si="6"/>
        <v>11112.121951219513</v>
      </c>
      <c r="AE33" s="42">
        <f t="shared" si="7"/>
        <v>123479254.25877456</v>
      </c>
    </row>
    <row r="34" spans="1:36" ht="15.75" customHeight="1" x14ac:dyDescent="0.3">
      <c r="A34" s="7" t="s">
        <v>21</v>
      </c>
      <c r="B34" s="8">
        <v>13269</v>
      </c>
      <c r="S34" s="201"/>
      <c r="T34" s="201"/>
      <c r="U34" s="201"/>
      <c r="AB34" s="31">
        <v>10630</v>
      </c>
      <c r="AC34" s="38">
        <f t="shared" si="5"/>
        <v>-9633.121951219513</v>
      </c>
      <c r="AD34" s="38">
        <f t="shared" si="6"/>
        <v>9633.121951219513</v>
      </c>
      <c r="AE34" s="42">
        <f t="shared" si="7"/>
        <v>92797038.527067244</v>
      </c>
      <c r="AG34" s="177" t="s">
        <v>143</v>
      </c>
      <c r="AH34" s="178"/>
    </row>
    <row r="35" spans="1:36" ht="15.75" customHeight="1" x14ac:dyDescent="0.3">
      <c r="A35" s="7" t="s">
        <v>44</v>
      </c>
      <c r="B35" s="8">
        <v>13470</v>
      </c>
      <c r="S35" s="201"/>
      <c r="T35" s="201"/>
      <c r="U35" s="201"/>
      <c r="AB35" s="31">
        <v>11024</v>
      </c>
      <c r="AC35" s="38">
        <f t="shared" si="5"/>
        <v>-9239.121951219513</v>
      </c>
      <c r="AD35" s="38">
        <f t="shared" si="6"/>
        <v>9239.121951219513</v>
      </c>
      <c r="AE35" s="42">
        <f t="shared" si="7"/>
        <v>85361374.429506257</v>
      </c>
      <c r="AG35" s="55" t="s">
        <v>144</v>
      </c>
      <c r="AH35" s="56" t="s">
        <v>145</v>
      </c>
    </row>
    <row r="36" spans="1:36" ht="15.75" customHeight="1" x14ac:dyDescent="0.3">
      <c r="A36" s="7" t="s">
        <v>73</v>
      </c>
      <c r="B36" s="8">
        <v>13537</v>
      </c>
      <c r="S36" s="201"/>
      <c r="T36" s="201"/>
      <c r="U36" s="201"/>
      <c r="AB36" s="31">
        <v>12064</v>
      </c>
      <c r="AC36" s="38">
        <f t="shared" si="5"/>
        <v>-8199.121951219513</v>
      </c>
      <c r="AD36" s="38">
        <f t="shared" si="6"/>
        <v>8199.121951219513</v>
      </c>
      <c r="AE36" s="42">
        <f t="shared" si="7"/>
        <v>67225600.770969674</v>
      </c>
      <c r="AG36" s="51" t="s">
        <v>146</v>
      </c>
      <c r="AH36" s="32" t="str">
        <f>_xlfn.IFS(AND((AH24-3*AH26)&lt;=H9,I15&lt;=(AH24+3*AH26)), "Да",OR((AH24-3*AH26)&gt;H9,I15&gt;(AH24+3*AH26)),"Нет")</f>
        <v>Да</v>
      </c>
    </row>
    <row r="37" spans="1:36" ht="15.75" customHeight="1" x14ac:dyDescent="0.3">
      <c r="A37" s="7" t="s">
        <v>31</v>
      </c>
      <c r="B37" s="8">
        <v>13538</v>
      </c>
      <c r="AB37" s="31">
        <v>12096</v>
      </c>
      <c r="AC37" s="38">
        <f t="shared" si="5"/>
        <v>-8167.121951219513</v>
      </c>
      <c r="AD37" s="38">
        <f t="shared" si="6"/>
        <v>8167.121951219513</v>
      </c>
      <c r="AE37" s="42">
        <f t="shared" si="7"/>
        <v>66701880.966091625</v>
      </c>
      <c r="AG37" s="51" t="s">
        <v>147</v>
      </c>
      <c r="AH37" s="32" t="str">
        <f>_xlfn.IFS((ABS((AH26-(AH28/6))/AH26))*100 &lt; 3, "Да",ABS((AH26-(AH28/6))/AH26)*100 &gt; 3,"Нет")</f>
        <v>Нет</v>
      </c>
    </row>
    <row r="38" spans="1:36" ht="15.75" customHeight="1" x14ac:dyDescent="0.3">
      <c r="A38" s="7" t="s">
        <v>55</v>
      </c>
      <c r="B38" s="8">
        <v>13670</v>
      </c>
      <c r="AB38" s="31">
        <v>12276</v>
      </c>
      <c r="AC38" s="38">
        <f t="shared" si="5"/>
        <v>-7987.121951219513</v>
      </c>
      <c r="AD38" s="38">
        <f t="shared" si="6"/>
        <v>7987.121951219513</v>
      </c>
      <c r="AE38" s="42">
        <f t="shared" si="7"/>
        <v>63794117.063652597</v>
      </c>
      <c r="AG38" s="51" t="s">
        <v>148</v>
      </c>
      <c r="AH38" s="52" t="str">
        <f>_xlfn.IFS(ABS(AH26-(1.25*AH27))/AH26*100 &lt;= 3,"Да",ABS(AH26-(1.25*AH27))/AH26*100 &gt; 3,"Нет")</f>
        <v>Да</v>
      </c>
    </row>
    <row r="39" spans="1:36" ht="15.75" customHeight="1" thickBot="1" x14ac:dyDescent="0.35">
      <c r="A39" s="7" t="s">
        <v>9</v>
      </c>
      <c r="B39" s="8">
        <v>13801</v>
      </c>
      <c r="AB39" s="31">
        <v>12567</v>
      </c>
      <c r="AC39" s="38">
        <f t="shared" si="5"/>
        <v>-7696.121951219513</v>
      </c>
      <c r="AD39" s="38">
        <f t="shared" si="6"/>
        <v>7696.121951219513</v>
      </c>
      <c r="AE39" s="42">
        <f t="shared" si="7"/>
        <v>59230293.08804284</v>
      </c>
      <c r="AG39" s="53" t="s">
        <v>149</v>
      </c>
      <c r="AH39" s="54" t="str">
        <f>_xlfn.IFS(AH31 &lt;= 3,"Да",AH31 &gt; 3,"Нет")</f>
        <v>Нет</v>
      </c>
    </row>
    <row r="40" spans="1:36" ht="15.75" customHeight="1" x14ac:dyDescent="0.3">
      <c r="A40" s="7" t="s">
        <v>71</v>
      </c>
      <c r="B40" s="8">
        <v>14013</v>
      </c>
      <c r="AB40" s="31">
        <v>13005</v>
      </c>
      <c r="AC40" s="38">
        <f t="shared" si="5"/>
        <v>-7258.121951219513</v>
      </c>
      <c r="AD40" s="38">
        <f t="shared" si="6"/>
        <v>7258.121951219513</v>
      </c>
      <c r="AE40" s="42">
        <f t="shared" si="7"/>
        <v>52680334.258774549</v>
      </c>
    </row>
    <row r="41" spans="1:36" ht="15.75" customHeight="1" x14ac:dyDescent="0.3">
      <c r="A41" s="7" t="s">
        <v>10</v>
      </c>
      <c r="B41" s="8">
        <v>14067</v>
      </c>
      <c r="AB41" s="31">
        <v>13073</v>
      </c>
      <c r="AC41" s="38">
        <f t="shared" si="5"/>
        <v>-7190.121951219513</v>
      </c>
      <c r="AD41" s="38">
        <f t="shared" si="6"/>
        <v>7190.121951219513</v>
      </c>
      <c r="AE41" s="42">
        <f t="shared" si="7"/>
        <v>51697853.673408695</v>
      </c>
    </row>
    <row r="42" spans="1:36" ht="15.75" customHeight="1" x14ac:dyDescent="0.3">
      <c r="A42" s="7" t="s">
        <v>11</v>
      </c>
      <c r="B42" s="8">
        <v>14202</v>
      </c>
      <c r="AB42" s="31">
        <v>13269</v>
      </c>
      <c r="AC42" s="38">
        <f t="shared" si="5"/>
        <v>-6994.121951219513</v>
      </c>
      <c r="AD42" s="38">
        <f t="shared" si="6"/>
        <v>6994.121951219513</v>
      </c>
      <c r="AE42" s="42">
        <f t="shared" si="7"/>
        <v>48917741.868530646</v>
      </c>
      <c r="AG42" s="179" t="s">
        <v>150</v>
      </c>
      <c r="AH42" s="180"/>
      <c r="AI42" s="180"/>
      <c r="AJ42" s="180"/>
    </row>
    <row r="43" spans="1:36" ht="15.75" customHeight="1" x14ac:dyDescent="0.3">
      <c r="A43" s="7" t="s">
        <v>30</v>
      </c>
      <c r="B43" s="8">
        <v>14765</v>
      </c>
      <c r="AB43" s="31">
        <v>13470</v>
      </c>
      <c r="AC43" s="38">
        <f t="shared" ref="AC43:AC74" si="13">AB43-AC$7</f>
        <v>-6793.121951219513</v>
      </c>
      <c r="AD43" s="38">
        <f t="shared" si="6"/>
        <v>6793.121951219513</v>
      </c>
      <c r="AE43" s="42">
        <f t="shared" si="7"/>
        <v>46146505.844140403</v>
      </c>
      <c r="AG43" s="180"/>
      <c r="AH43" s="180"/>
      <c r="AI43" s="180"/>
      <c r="AJ43" s="180"/>
    </row>
    <row r="44" spans="1:36" ht="15.75" customHeight="1" x14ac:dyDescent="0.3">
      <c r="A44" s="7" t="s">
        <v>52</v>
      </c>
      <c r="B44" s="8">
        <v>14852</v>
      </c>
      <c r="AB44" s="31">
        <v>13537</v>
      </c>
      <c r="AC44" s="38">
        <f t="shared" si="13"/>
        <v>-6726.121951219513</v>
      </c>
      <c r="AD44" s="38">
        <f t="shared" si="6"/>
        <v>6726.121951219513</v>
      </c>
      <c r="AE44" s="42">
        <f t="shared" si="7"/>
        <v>45240716.502676986</v>
      </c>
      <c r="AG44" s="180"/>
      <c r="AH44" s="180"/>
      <c r="AI44" s="180"/>
      <c r="AJ44" s="180"/>
    </row>
    <row r="45" spans="1:36" ht="15.75" customHeight="1" x14ac:dyDescent="0.3">
      <c r="A45" s="7" t="s">
        <v>56</v>
      </c>
      <c r="B45" s="8">
        <v>15026</v>
      </c>
      <c r="AB45" s="31">
        <v>13538</v>
      </c>
      <c r="AC45" s="38">
        <f t="shared" si="13"/>
        <v>-6725.121951219513</v>
      </c>
      <c r="AD45" s="38">
        <f t="shared" si="6"/>
        <v>6725.121951219513</v>
      </c>
      <c r="AE45" s="42">
        <f t="shared" si="7"/>
        <v>45227265.258774549</v>
      </c>
      <c r="AG45" s="180"/>
      <c r="AH45" s="180"/>
      <c r="AI45" s="180"/>
      <c r="AJ45" s="180"/>
    </row>
    <row r="46" spans="1:36" ht="15.75" customHeight="1" x14ac:dyDescent="0.3">
      <c r="A46" s="7" t="s">
        <v>76</v>
      </c>
      <c r="B46" s="8">
        <v>15554</v>
      </c>
      <c r="AB46" s="31">
        <v>13670</v>
      </c>
      <c r="AC46" s="38">
        <f t="shared" si="13"/>
        <v>-6593.121951219513</v>
      </c>
      <c r="AD46" s="38">
        <f t="shared" si="6"/>
        <v>6593.121951219513</v>
      </c>
      <c r="AE46" s="42">
        <f t="shared" si="7"/>
        <v>43469257.063652597</v>
      </c>
      <c r="AG46" s="180"/>
      <c r="AH46" s="180"/>
      <c r="AI46" s="180"/>
      <c r="AJ46" s="180"/>
    </row>
    <row r="47" spans="1:36" ht="15.75" customHeight="1" x14ac:dyDescent="0.3">
      <c r="A47" s="7" t="s">
        <v>22</v>
      </c>
      <c r="B47" s="8">
        <v>15961</v>
      </c>
      <c r="AB47" s="31">
        <v>13801</v>
      </c>
      <c r="AC47" s="38">
        <f t="shared" si="13"/>
        <v>-6462.121951219513</v>
      </c>
      <c r="AD47" s="38">
        <f t="shared" si="6"/>
        <v>6462.121951219513</v>
      </c>
      <c r="AE47" s="42">
        <f t="shared" si="7"/>
        <v>41759020.112433083</v>
      </c>
      <c r="AG47" s="180"/>
      <c r="AH47" s="180"/>
      <c r="AI47" s="180"/>
      <c r="AJ47" s="180"/>
    </row>
    <row r="48" spans="1:36" ht="15.75" customHeight="1" x14ac:dyDescent="0.3">
      <c r="A48" s="7" t="s">
        <v>87</v>
      </c>
      <c r="B48" s="8">
        <v>16066</v>
      </c>
      <c r="AB48" s="31">
        <v>14013</v>
      </c>
      <c r="AC48" s="38">
        <f t="shared" si="13"/>
        <v>-6250.121951219513</v>
      </c>
      <c r="AD48" s="38">
        <f t="shared" si="6"/>
        <v>6250.121951219513</v>
      </c>
      <c r="AE48" s="42">
        <f t="shared" si="7"/>
        <v>39064024.405116014</v>
      </c>
      <c r="AG48" s="180"/>
      <c r="AH48" s="180"/>
      <c r="AI48" s="180"/>
      <c r="AJ48" s="180"/>
    </row>
    <row r="49" spans="1:36" ht="15.75" customHeight="1" x14ac:dyDescent="0.3">
      <c r="A49" s="7" t="s">
        <v>12</v>
      </c>
      <c r="B49" s="8">
        <v>16248</v>
      </c>
      <c r="AB49" s="31">
        <v>14067</v>
      </c>
      <c r="AC49" s="38">
        <f t="shared" si="13"/>
        <v>-6196.121951219513</v>
      </c>
      <c r="AD49" s="38">
        <f t="shared" si="6"/>
        <v>6196.121951219513</v>
      </c>
      <c r="AE49" s="42">
        <f t="shared" si="7"/>
        <v>38391927.234384306</v>
      </c>
      <c r="AG49" s="180"/>
      <c r="AH49" s="180"/>
      <c r="AI49" s="180"/>
      <c r="AJ49" s="180"/>
    </row>
    <row r="50" spans="1:36" ht="15.75" customHeight="1" x14ac:dyDescent="0.3">
      <c r="A50" s="7" t="s">
        <v>75</v>
      </c>
      <c r="B50" s="8">
        <v>16813</v>
      </c>
      <c r="AB50" s="31">
        <v>14202</v>
      </c>
      <c r="AC50" s="38">
        <f t="shared" si="13"/>
        <v>-6061.121951219513</v>
      </c>
      <c r="AD50" s="38">
        <f t="shared" si="6"/>
        <v>6061.121951219513</v>
      </c>
      <c r="AE50" s="42">
        <f t="shared" si="7"/>
        <v>36737199.307555035</v>
      </c>
      <c r="AG50" s="180"/>
      <c r="AH50" s="180"/>
      <c r="AI50" s="180"/>
      <c r="AJ50" s="180"/>
    </row>
    <row r="51" spans="1:36" ht="15.75" customHeight="1" x14ac:dyDescent="0.3">
      <c r="A51" s="7" t="s">
        <v>8</v>
      </c>
      <c r="B51" s="8">
        <v>16996</v>
      </c>
      <c r="AB51" s="31">
        <v>14765</v>
      </c>
      <c r="AC51" s="38">
        <f t="shared" si="13"/>
        <v>-5498.121951219513</v>
      </c>
      <c r="AD51" s="38">
        <f t="shared" si="6"/>
        <v>5498.121951219513</v>
      </c>
      <c r="AE51" s="42">
        <f t="shared" si="7"/>
        <v>30229344.990481865</v>
      </c>
      <c r="AG51" s="180"/>
      <c r="AH51" s="180"/>
      <c r="AI51" s="180"/>
      <c r="AJ51" s="180"/>
    </row>
    <row r="52" spans="1:36" ht="15.75" customHeight="1" x14ac:dyDescent="0.3">
      <c r="A52" s="7" t="s">
        <v>14</v>
      </c>
      <c r="B52" s="8">
        <v>17775</v>
      </c>
      <c r="AB52" s="31">
        <v>14852</v>
      </c>
      <c r="AC52" s="38">
        <f t="shared" si="13"/>
        <v>-5411.121951219513</v>
      </c>
      <c r="AD52" s="38">
        <f t="shared" si="6"/>
        <v>5411.121951219513</v>
      </c>
      <c r="AE52" s="42">
        <f t="shared" si="7"/>
        <v>29280240.77096967</v>
      </c>
      <c r="AG52" s="180"/>
      <c r="AH52" s="180"/>
      <c r="AI52" s="180"/>
      <c r="AJ52" s="180"/>
    </row>
    <row r="53" spans="1:36" ht="15.75" customHeight="1" x14ac:dyDescent="0.3">
      <c r="A53" s="7" t="s">
        <v>7</v>
      </c>
      <c r="B53" s="8">
        <v>18231</v>
      </c>
      <c r="AB53" s="31">
        <v>15026</v>
      </c>
      <c r="AC53" s="38">
        <f t="shared" si="13"/>
        <v>-5237.121951219513</v>
      </c>
      <c r="AD53" s="38">
        <f t="shared" si="6"/>
        <v>5237.121951219513</v>
      </c>
      <c r="AE53" s="42">
        <f t="shared" si="7"/>
        <v>27427446.331945278</v>
      </c>
      <c r="AG53" s="180"/>
      <c r="AH53" s="180"/>
      <c r="AI53" s="180"/>
      <c r="AJ53" s="180"/>
    </row>
    <row r="54" spans="1:36" ht="15.75" customHeight="1" x14ac:dyDescent="0.3">
      <c r="A54" s="7" t="s">
        <v>26</v>
      </c>
      <c r="B54" s="8">
        <v>19034</v>
      </c>
      <c r="AB54" s="31">
        <v>15554</v>
      </c>
      <c r="AC54" s="38">
        <f t="shared" si="13"/>
        <v>-4709.121951219513</v>
      </c>
      <c r="AD54" s="38">
        <f t="shared" si="6"/>
        <v>4709.121951219513</v>
      </c>
      <c r="AE54" s="42">
        <f t="shared" si="7"/>
        <v>22175829.551457472</v>
      </c>
      <c r="AG54" s="180"/>
      <c r="AH54" s="180"/>
      <c r="AI54" s="180"/>
      <c r="AJ54" s="180"/>
    </row>
    <row r="55" spans="1:36" ht="15.75" customHeight="1" x14ac:dyDescent="0.3">
      <c r="A55" s="7" t="s">
        <v>74</v>
      </c>
      <c r="B55" s="8">
        <v>20583</v>
      </c>
      <c r="AB55" s="31">
        <v>15961</v>
      </c>
      <c r="AC55" s="38">
        <f t="shared" si="13"/>
        <v>-4302.121951219513</v>
      </c>
      <c r="AD55" s="38">
        <f t="shared" si="6"/>
        <v>4302.121951219513</v>
      </c>
      <c r="AE55" s="42">
        <f t="shared" si="7"/>
        <v>18508253.283164788</v>
      </c>
      <c r="AG55" s="180"/>
      <c r="AH55" s="180"/>
      <c r="AI55" s="180"/>
      <c r="AJ55" s="180"/>
    </row>
    <row r="56" spans="1:36" ht="15.75" customHeight="1" x14ac:dyDescent="0.3">
      <c r="A56" s="7" t="s">
        <v>57</v>
      </c>
      <c r="B56" s="8">
        <v>20727</v>
      </c>
      <c r="AB56" s="31">
        <v>16066</v>
      </c>
      <c r="AC56" s="38">
        <f t="shared" si="13"/>
        <v>-4197.121951219513</v>
      </c>
      <c r="AD56" s="38">
        <f t="shared" si="6"/>
        <v>4197.121951219513</v>
      </c>
      <c r="AE56" s="42">
        <f t="shared" si="7"/>
        <v>17615832.673408691</v>
      </c>
      <c r="AG56" s="180"/>
      <c r="AH56" s="180"/>
      <c r="AI56" s="180"/>
      <c r="AJ56" s="180"/>
    </row>
    <row r="57" spans="1:36" ht="15.75" customHeight="1" x14ac:dyDescent="0.3">
      <c r="A57" s="7" t="s">
        <v>51</v>
      </c>
      <c r="B57" s="8">
        <v>20770</v>
      </c>
      <c r="AB57" s="31">
        <v>16248</v>
      </c>
      <c r="AC57" s="38">
        <f t="shared" si="13"/>
        <v>-4015.121951219513</v>
      </c>
      <c r="AD57" s="38">
        <f t="shared" si="6"/>
        <v>4015.121951219513</v>
      </c>
      <c r="AE57" s="42">
        <f t="shared" si="7"/>
        <v>16121204.28316479</v>
      </c>
      <c r="AG57" s="180"/>
      <c r="AH57" s="180"/>
      <c r="AI57" s="180"/>
      <c r="AJ57" s="180"/>
    </row>
    <row r="58" spans="1:36" ht="15.75" customHeight="1" x14ac:dyDescent="0.3">
      <c r="A58" s="7" t="s">
        <v>81</v>
      </c>
      <c r="B58" s="8">
        <v>20788</v>
      </c>
      <c r="AB58" s="31">
        <v>16813</v>
      </c>
      <c r="AC58" s="38">
        <f t="shared" si="13"/>
        <v>-3450.121951219513</v>
      </c>
      <c r="AD58" s="38">
        <f t="shared" si="6"/>
        <v>3450.121951219513</v>
      </c>
      <c r="AE58" s="42">
        <f t="shared" si="7"/>
        <v>11903341.478286739</v>
      </c>
      <c r="AG58" s="180"/>
      <c r="AH58" s="180"/>
      <c r="AI58" s="180"/>
      <c r="AJ58" s="180"/>
    </row>
    <row r="59" spans="1:36" ht="15.75" customHeight="1" x14ac:dyDescent="0.3">
      <c r="A59" s="7" t="s">
        <v>17</v>
      </c>
      <c r="B59" s="8">
        <v>21707</v>
      </c>
      <c r="AB59" s="31">
        <v>16996</v>
      </c>
      <c r="AC59" s="38">
        <f t="shared" si="13"/>
        <v>-3267.121951219513</v>
      </c>
      <c r="AD59" s="38">
        <f t="shared" si="6"/>
        <v>3267.121951219513</v>
      </c>
      <c r="AE59" s="42">
        <f t="shared" si="7"/>
        <v>10674085.844140397</v>
      </c>
      <c r="AG59" s="180"/>
      <c r="AH59" s="180"/>
      <c r="AI59" s="180"/>
      <c r="AJ59" s="180"/>
    </row>
    <row r="60" spans="1:36" ht="15.75" customHeight="1" x14ac:dyDescent="0.3">
      <c r="A60" s="7" t="s">
        <v>80</v>
      </c>
      <c r="B60" s="8">
        <v>21987</v>
      </c>
      <c r="AB60" s="31">
        <v>17775</v>
      </c>
      <c r="AC60" s="38">
        <f t="shared" si="13"/>
        <v>-2488.121951219513</v>
      </c>
      <c r="AD60" s="38">
        <f t="shared" si="6"/>
        <v>2488.121951219513</v>
      </c>
      <c r="AE60" s="42">
        <f t="shared" si="7"/>
        <v>6190750.8441403965</v>
      </c>
      <c r="AG60" s="180"/>
      <c r="AH60" s="180"/>
      <c r="AI60" s="180"/>
      <c r="AJ60" s="180"/>
    </row>
    <row r="61" spans="1:36" ht="15.75" customHeight="1" x14ac:dyDescent="0.3">
      <c r="A61" s="7" t="s">
        <v>41</v>
      </c>
      <c r="B61" s="8">
        <v>23825</v>
      </c>
      <c r="AB61" s="31">
        <v>18231</v>
      </c>
      <c r="AC61" s="38">
        <f t="shared" si="13"/>
        <v>-2032.121951219513</v>
      </c>
      <c r="AD61" s="38">
        <f t="shared" si="6"/>
        <v>2032.121951219513</v>
      </c>
      <c r="AE61" s="42">
        <f t="shared" si="7"/>
        <v>4129519.6246282007</v>
      </c>
      <c r="AG61" s="180"/>
      <c r="AH61" s="180"/>
      <c r="AI61" s="180"/>
      <c r="AJ61" s="180"/>
    </row>
    <row r="62" spans="1:36" ht="15.75" customHeight="1" x14ac:dyDescent="0.3">
      <c r="A62" s="7" t="s">
        <v>77</v>
      </c>
      <c r="B62" s="8">
        <v>24160</v>
      </c>
      <c r="AB62" s="31">
        <v>19034</v>
      </c>
      <c r="AC62" s="38">
        <f t="shared" si="13"/>
        <v>-1229.121951219513</v>
      </c>
      <c r="AD62" s="38">
        <f t="shared" si="6"/>
        <v>1229.121951219513</v>
      </c>
      <c r="AE62" s="42">
        <f t="shared" si="7"/>
        <v>1510740.7709696628</v>
      </c>
      <c r="AG62" s="180"/>
      <c r="AH62" s="180"/>
      <c r="AI62" s="180"/>
      <c r="AJ62" s="180"/>
    </row>
    <row r="63" spans="1:36" ht="15.75" customHeight="1" x14ac:dyDescent="0.3">
      <c r="A63" s="7" t="s">
        <v>42</v>
      </c>
      <c r="B63" s="8">
        <v>24989</v>
      </c>
      <c r="AB63" s="31">
        <v>20583</v>
      </c>
      <c r="AC63" s="38">
        <f t="shared" si="13"/>
        <v>319.87804878048701</v>
      </c>
      <c r="AD63" s="38">
        <f t="shared" si="6"/>
        <v>319.87804878048701</v>
      </c>
      <c r="AE63" s="42">
        <f t="shared" si="7"/>
        <v>102321.96609161163</v>
      </c>
      <c r="AG63" s="180"/>
      <c r="AH63" s="180"/>
      <c r="AI63" s="180"/>
      <c r="AJ63" s="180"/>
    </row>
    <row r="64" spans="1:36" ht="15.75" customHeight="1" x14ac:dyDescent="0.3">
      <c r="A64" s="7" t="s">
        <v>78</v>
      </c>
      <c r="B64" s="8">
        <v>26524</v>
      </c>
      <c r="AB64" s="31">
        <v>20727</v>
      </c>
      <c r="AC64" s="38">
        <f t="shared" si="13"/>
        <v>463.87804878048701</v>
      </c>
      <c r="AD64" s="38">
        <f t="shared" si="6"/>
        <v>463.87804878048701</v>
      </c>
      <c r="AE64" s="42">
        <f t="shared" si="7"/>
        <v>215182.84414039188</v>
      </c>
      <c r="AG64" s="180"/>
      <c r="AH64" s="180"/>
      <c r="AI64" s="180"/>
      <c r="AJ64" s="180"/>
    </row>
    <row r="65" spans="1:36" ht="15.75" customHeight="1" x14ac:dyDescent="0.3">
      <c r="A65" s="7" t="s">
        <v>32</v>
      </c>
      <c r="B65" s="8">
        <v>27092</v>
      </c>
      <c r="AB65" s="31">
        <v>20770</v>
      </c>
      <c r="AC65" s="38">
        <f t="shared" si="13"/>
        <v>506.87804878048701</v>
      </c>
      <c r="AD65" s="38">
        <f t="shared" si="6"/>
        <v>506.87804878048701</v>
      </c>
      <c r="AE65" s="42">
        <f t="shared" si="7"/>
        <v>256925.35633551376</v>
      </c>
      <c r="AG65" s="180"/>
      <c r="AH65" s="180"/>
      <c r="AI65" s="180"/>
      <c r="AJ65" s="180"/>
    </row>
    <row r="66" spans="1:36" ht="15.75" customHeight="1" x14ac:dyDescent="0.3">
      <c r="A66" s="7" t="s">
        <v>15</v>
      </c>
      <c r="B66" s="8">
        <v>29552</v>
      </c>
      <c r="AB66" s="31">
        <v>20788</v>
      </c>
      <c r="AC66" s="38">
        <f t="shared" si="13"/>
        <v>524.87804878048701</v>
      </c>
      <c r="AD66" s="38">
        <f t="shared" si="6"/>
        <v>524.87804878048701</v>
      </c>
      <c r="AE66" s="42">
        <f t="shared" si="7"/>
        <v>275496.96609161131</v>
      </c>
      <c r="AG66" s="180"/>
      <c r="AH66" s="180"/>
      <c r="AI66" s="180"/>
      <c r="AJ66" s="180"/>
    </row>
    <row r="67" spans="1:36" ht="15.75" customHeight="1" x14ac:dyDescent="0.3">
      <c r="A67" s="7" t="s">
        <v>68</v>
      </c>
      <c r="B67" s="8">
        <v>29831</v>
      </c>
      <c r="AB67" s="31">
        <v>21707</v>
      </c>
      <c r="AC67" s="38">
        <f t="shared" si="13"/>
        <v>1443.878048780487</v>
      </c>
      <c r="AD67" s="38">
        <f t="shared" si="6"/>
        <v>1443.878048780487</v>
      </c>
      <c r="AE67" s="42">
        <f t="shared" si="7"/>
        <v>2084783.8197501465</v>
      </c>
      <c r="AG67" s="180"/>
      <c r="AH67" s="180"/>
      <c r="AI67" s="180"/>
      <c r="AJ67" s="180"/>
    </row>
    <row r="68" spans="1:36" ht="15.75" customHeight="1" x14ac:dyDescent="0.3">
      <c r="A68" s="7" t="s">
        <v>72</v>
      </c>
      <c r="B68" s="8">
        <v>34008</v>
      </c>
      <c r="AB68" s="31">
        <v>21987</v>
      </c>
      <c r="AC68" s="38">
        <f t="shared" si="13"/>
        <v>1723.878048780487</v>
      </c>
      <c r="AD68" s="38">
        <f t="shared" si="6"/>
        <v>1723.878048780487</v>
      </c>
      <c r="AE68" s="42">
        <f t="shared" si="7"/>
        <v>2971755.5270672189</v>
      </c>
      <c r="AG68" s="180"/>
      <c r="AH68" s="180"/>
      <c r="AI68" s="180"/>
      <c r="AJ68" s="180"/>
    </row>
    <row r="69" spans="1:36" ht="15.75" customHeight="1" x14ac:dyDescent="0.3">
      <c r="A69" s="7" t="s">
        <v>46</v>
      </c>
      <c r="B69" s="8">
        <v>35098</v>
      </c>
      <c r="AB69" s="31">
        <v>23825</v>
      </c>
      <c r="AC69" s="38">
        <f t="shared" si="13"/>
        <v>3561.878048780487</v>
      </c>
      <c r="AD69" s="38">
        <f t="shared" si="6"/>
        <v>3561.878048780487</v>
      </c>
      <c r="AE69" s="42">
        <f t="shared" si="7"/>
        <v>12686975.234384289</v>
      </c>
      <c r="AG69" s="180"/>
      <c r="AH69" s="180"/>
      <c r="AI69" s="180"/>
      <c r="AJ69" s="180"/>
    </row>
    <row r="70" spans="1:36" ht="15.75" customHeight="1" x14ac:dyDescent="0.3">
      <c r="A70" s="7" t="s">
        <v>13</v>
      </c>
      <c r="B70" s="8">
        <v>37910</v>
      </c>
      <c r="AB70" s="31">
        <v>24160</v>
      </c>
      <c r="AC70" s="38">
        <f t="shared" si="13"/>
        <v>3896.878048780487</v>
      </c>
      <c r="AD70" s="38">
        <f t="shared" si="6"/>
        <v>3896.878048780487</v>
      </c>
      <c r="AE70" s="42">
        <f t="shared" si="7"/>
        <v>15185658.527067216</v>
      </c>
      <c r="AG70" s="180"/>
      <c r="AH70" s="180"/>
      <c r="AI70" s="180"/>
      <c r="AJ70" s="180"/>
    </row>
    <row r="71" spans="1:36" ht="15.75" customHeight="1" x14ac:dyDescent="0.3">
      <c r="A71" s="7" t="s">
        <v>6</v>
      </c>
      <c r="B71" s="8">
        <v>39070</v>
      </c>
      <c r="AB71" s="31">
        <v>24989</v>
      </c>
      <c r="AC71" s="38">
        <f t="shared" si="13"/>
        <v>4725.878048780487</v>
      </c>
      <c r="AD71" s="38">
        <f t="shared" si="6"/>
        <v>4725.878048780487</v>
      </c>
      <c r="AE71" s="42">
        <f t="shared" si="7"/>
        <v>22333923.331945263</v>
      </c>
      <c r="AG71" s="180"/>
      <c r="AH71" s="180"/>
      <c r="AI71" s="180"/>
      <c r="AJ71" s="180"/>
    </row>
    <row r="72" spans="1:36" ht="15.75" customHeight="1" x14ac:dyDescent="0.3">
      <c r="A72" s="7" t="s">
        <v>19</v>
      </c>
      <c r="B72" s="8">
        <v>39363</v>
      </c>
      <c r="AB72" s="31">
        <v>26524</v>
      </c>
      <c r="AC72" s="38">
        <f t="shared" si="13"/>
        <v>6260.878048780487</v>
      </c>
      <c r="AD72" s="38">
        <f t="shared" si="6"/>
        <v>6260.878048780487</v>
      </c>
      <c r="AE72" s="42">
        <f t="shared" si="7"/>
        <v>39198593.94170136</v>
      </c>
    </row>
    <row r="73" spans="1:36" ht="15.75" customHeight="1" x14ac:dyDescent="0.3">
      <c r="A73" s="7" t="s">
        <v>38</v>
      </c>
      <c r="B73" s="8">
        <v>40530</v>
      </c>
      <c r="AB73" s="31">
        <v>27092</v>
      </c>
      <c r="AC73" s="38">
        <f t="shared" si="13"/>
        <v>6828.878048780487</v>
      </c>
      <c r="AD73" s="38">
        <f t="shared" si="6"/>
        <v>6828.878048780487</v>
      </c>
      <c r="AE73" s="42">
        <f t="shared" si="7"/>
        <v>46633575.405115992</v>
      </c>
    </row>
    <row r="74" spans="1:36" ht="15.75" customHeight="1" x14ac:dyDescent="0.3">
      <c r="A74" s="7" t="s">
        <v>45</v>
      </c>
      <c r="B74" s="8">
        <v>40594</v>
      </c>
      <c r="AB74" s="31">
        <v>29552</v>
      </c>
      <c r="AC74" s="38">
        <f t="shared" si="13"/>
        <v>9288.878048780487</v>
      </c>
      <c r="AD74" s="38">
        <f t="shared" si="6"/>
        <v>9288.878048780487</v>
      </c>
      <c r="AE74" s="42">
        <f t="shared" si="7"/>
        <v>86283255.405115992</v>
      </c>
    </row>
    <row r="75" spans="1:36" ht="15.75" customHeight="1" x14ac:dyDescent="0.3">
      <c r="A75" s="7" t="s">
        <v>67</v>
      </c>
      <c r="B75" s="8">
        <v>43280</v>
      </c>
      <c r="AB75" s="31">
        <v>29831</v>
      </c>
      <c r="AC75" s="38">
        <f t="shared" ref="AC75:AC92" si="14">AB75-AC$7</f>
        <v>9567.878048780487</v>
      </c>
      <c r="AD75" s="38">
        <f t="shared" si="6"/>
        <v>9567.878048780487</v>
      </c>
      <c r="AE75" s="42">
        <f t="shared" si="7"/>
        <v>91544290.356335506</v>
      </c>
    </row>
    <row r="76" spans="1:36" ht="15.75" customHeight="1" x14ac:dyDescent="0.3">
      <c r="A76" s="7" t="s">
        <v>40</v>
      </c>
      <c r="B76" s="8">
        <v>46463</v>
      </c>
      <c r="AB76" s="31">
        <v>34008</v>
      </c>
      <c r="AC76" s="38">
        <f t="shared" si="14"/>
        <v>13744.878048780487</v>
      </c>
      <c r="AD76" s="38">
        <f t="shared" ref="AD76:AD92" si="15">ABS(AC76)</f>
        <v>13744.878048780487</v>
      </c>
      <c r="AE76" s="42">
        <f t="shared" ref="AE76:AE92" si="16">POWER(AD76,2)</f>
        <v>188921672.57584769</v>
      </c>
    </row>
    <row r="77" spans="1:36" ht="15.75" customHeight="1" x14ac:dyDescent="0.3">
      <c r="A77" s="7" t="s">
        <v>29</v>
      </c>
      <c r="B77" s="8">
        <v>47027</v>
      </c>
      <c r="AB77" s="31">
        <v>35098</v>
      </c>
      <c r="AC77" s="38">
        <f t="shared" si="14"/>
        <v>14834.878048780487</v>
      </c>
      <c r="AD77" s="38">
        <f t="shared" si="15"/>
        <v>14834.878048780487</v>
      </c>
      <c r="AE77" s="42">
        <f t="shared" si="16"/>
        <v>220073606.72218916</v>
      </c>
    </row>
    <row r="78" spans="1:36" ht="15.75" customHeight="1" x14ac:dyDescent="0.3">
      <c r="A78" s="7" t="s">
        <v>25</v>
      </c>
      <c r="B78" s="8">
        <v>50465</v>
      </c>
      <c r="AB78" s="31">
        <v>37910</v>
      </c>
      <c r="AC78" s="38">
        <f t="shared" si="14"/>
        <v>17646.878048780487</v>
      </c>
      <c r="AD78" s="38">
        <f t="shared" si="15"/>
        <v>17646.878048780487</v>
      </c>
      <c r="AE78" s="42">
        <f t="shared" si="16"/>
        <v>311412304.86853063</v>
      </c>
    </row>
    <row r="79" spans="1:36" ht="15.75" customHeight="1" x14ac:dyDescent="0.3">
      <c r="A79" s="7" t="s">
        <v>62</v>
      </c>
      <c r="B79" s="8">
        <v>51933</v>
      </c>
      <c r="AB79" s="31">
        <v>39070</v>
      </c>
      <c r="AC79" s="38">
        <f t="shared" si="14"/>
        <v>18806.878048780487</v>
      </c>
      <c r="AD79" s="38">
        <f t="shared" si="15"/>
        <v>18806.878048780487</v>
      </c>
      <c r="AE79" s="42">
        <f t="shared" si="16"/>
        <v>353698661.94170135</v>
      </c>
    </row>
    <row r="80" spans="1:36" ht="15.75" customHeight="1" x14ac:dyDescent="0.3">
      <c r="A80" s="143" t="s">
        <v>50</v>
      </c>
      <c r="B80" s="145">
        <v>52437</v>
      </c>
      <c r="AB80" s="31">
        <v>39363</v>
      </c>
      <c r="AC80" s="38">
        <f t="shared" si="14"/>
        <v>19099.878048780487</v>
      </c>
      <c r="AD80" s="38">
        <f t="shared" si="15"/>
        <v>19099.878048780487</v>
      </c>
      <c r="AE80" s="42">
        <f t="shared" si="16"/>
        <v>364805341.47828668</v>
      </c>
    </row>
    <row r="81" spans="1:31" ht="15.75" customHeight="1" thickBot="1" x14ac:dyDescent="0.35">
      <c r="A81" s="144" t="s">
        <v>70</v>
      </c>
      <c r="B81" s="146">
        <v>54484</v>
      </c>
      <c r="AB81" s="31">
        <v>40530</v>
      </c>
      <c r="AC81" s="38">
        <f t="shared" si="14"/>
        <v>20266.878048780487</v>
      </c>
      <c r="AD81" s="38">
        <f t="shared" si="15"/>
        <v>20266.878048780487</v>
      </c>
      <c r="AE81" s="42">
        <f t="shared" si="16"/>
        <v>410746345.84414035</v>
      </c>
    </row>
    <row r="82" spans="1:31" ht="15.75" customHeight="1" x14ac:dyDescent="0.3">
      <c r="A82" s="60"/>
      <c r="B82" s="60"/>
      <c r="AB82" s="31">
        <v>40594</v>
      </c>
      <c r="AC82" s="38">
        <f t="shared" si="14"/>
        <v>20330.878048780487</v>
      </c>
      <c r="AD82" s="38">
        <f t="shared" si="15"/>
        <v>20330.878048780487</v>
      </c>
      <c r="AE82" s="42">
        <f t="shared" si="16"/>
        <v>413344602.23438424</v>
      </c>
    </row>
    <row r="83" spans="1:31" ht="15.75" customHeight="1" x14ac:dyDescent="0.3">
      <c r="A83" s="60"/>
      <c r="B83" s="60"/>
      <c r="AB83" s="31">
        <v>43280</v>
      </c>
      <c r="AC83" s="38">
        <f t="shared" si="14"/>
        <v>23016.878048780487</v>
      </c>
      <c r="AD83" s="38">
        <f t="shared" si="15"/>
        <v>23016.878048780487</v>
      </c>
      <c r="AE83" s="42">
        <f t="shared" si="16"/>
        <v>529776675.11243302</v>
      </c>
    </row>
    <row r="84" spans="1:31" ht="15.75" customHeight="1" x14ac:dyDescent="0.3">
      <c r="A84" s="61"/>
      <c r="B84" s="61"/>
      <c r="AB84" s="31">
        <v>46463</v>
      </c>
      <c r="AC84" s="38">
        <f t="shared" si="14"/>
        <v>26199.878048780487</v>
      </c>
      <c r="AD84" s="38">
        <f t="shared" si="15"/>
        <v>26199.878048780487</v>
      </c>
      <c r="AE84" s="42">
        <f t="shared" si="16"/>
        <v>686433609.77096963</v>
      </c>
    </row>
    <row r="85" spans="1:31" ht="15.75" customHeight="1" x14ac:dyDescent="0.3">
      <c r="A85" s="60"/>
      <c r="B85" s="60"/>
      <c r="AB85" s="31">
        <v>47027</v>
      </c>
      <c r="AC85" s="38">
        <f t="shared" si="14"/>
        <v>26763.878048780487</v>
      </c>
      <c r="AD85" s="38">
        <f t="shared" si="15"/>
        <v>26763.878048780487</v>
      </c>
      <c r="AE85" s="42">
        <f t="shared" si="16"/>
        <v>716305168.20999396</v>
      </c>
    </row>
    <row r="86" spans="1:31" ht="15.75" customHeight="1" x14ac:dyDescent="0.3">
      <c r="A86" s="60"/>
      <c r="B86" s="60"/>
      <c r="AB86" s="31">
        <v>50465</v>
      </c>
      <c r="AC86" s="38">
        <f t="shared" si="14"/>
        <v>30201.878048780487</v>
      </c>
      <c r="AD86" s="38">
        <f t="shared" si="15"/>
        <v>30201.878048780487</v>
      </c>
      <c r="AE86" s="42">
        <f t="shared" si="16"/>
        <v>912153437.67340863</v>
      </c>
    </row>
    <row r="87" spans="1:31" ht="15.75" customHeight="1" x14ac:dyDescent="0.3">
      <c r="A87" s="60"/>
      <c r="B87" s="61"/>
      <c r="AB87" s="31">
        <v>51933</v>
      </c>
      <c r="AC87" s="38">
        <f t="shared" si="14"/>
        <v>31669.878048780487</v>
      </c>
      <c r="AD87" s="38">
        <f t="shared" si="15"/>
        <v>31669.878048780487</v>
      </c>
      <c r="AE87" s="42">
        <f t="shared" si="16"/>
        <v>1002981175.6246282</v>
      </c>
    </row>
    <row r="88" spans="1:31" ht="15.75" customHeight="1" x14ac:dyDescent="0.3">
      <c r="B88" s="15"/>
      <c r="AB88" s="31">
        <v>52437</v>
      </c>
      <c r="AC88" s="38">
        <f t="shared" si="14"/>
        <v>32173.878048780487</v>
      </c>
      <c r="AD88" s="38">
        <f t="shared" si="15"/>
        <v>32173.878048780487</v>
      </c>
      <c r="AE88" s="42">
        <f t="shared" si="16"/>
        <v>1035158428.6977988</v>
      </c>
    </row>
    <row r="89" spans="1:31" ht="15.75" customHeight="1" x14ac:dyDescent="0.3">
      <c r="B89" s="15"/>
      <c r="AB89" s="31">
        <v>54484</v>
      </c>
      <c r="AC89" s="38">
        <f t="shared" si="14"/>
        <v>34220.878048780491</v>
      </c>
      <c r="AD89" s="38">
        <f t="shared" si="15"/>
        <v>34220.878048780491</v>
      </c>
      <c r="AE89" s="42">
        <f t="shared" si="16"/>
        <v>1171068494.4295065</v>
      </c>
    </row>
    <row r="90" spans="1:31" ht="15.75" customHeight="1" x14ac:dyDescent="0.3">
      <c r="A90" s="60"/>
      <c r="B90" s="15"/>
      <c r="AB90" s="31">
        <v>58538</v>
      </c>
      <c r="AC90" s="38">
        <f t="shared" si="14"/>
        <v>38274.878048780491</v>
      </c>
      <c r="AD90" s="38">
        <f t="shared" si="15"/>
        <v>38274.878048780491</v>
      </c>
      <c r="AE90" s="42">
        <f t="shared" si="16"/>
        <v>1464966289.6490188</v>
      </c>
    </row>
    <row r="91" spans="1:31" ht="15.75" customHeight="1" x14ac:dyDescent="0.3">
      <c r="B91" s="15"/>
      <c r="AB91" s="31">
        <v>62755</v>
      </c>
      <c r="AC91" s="38">
        <f t="shared" si="14"/>
        <v>42491.878048780491</v>
      </c>
      <c r="AD91" s="38">
        <f t="shared" si="15"/>
        <v>42491.878048780491</v>
      </c>
      <c r="AE91" s="42">
        <f t="shared" si="16"/>
        <v>1805559700.1124334</v>
      </c>
    </row>
    <row r="92" spans="1:31" ht="15" customHeight="1" thickBot="1" x14ac:dyDescent="0.35">
      <c r="B92" s="15"/>
      <c r="E92" s="197" t="s">
        <v>101</v>
      </c>
      <c r="F92" s="163"/>
      <c r="G92" s="163"/>
      <c r="H92" s="163"/>
      <c r="I92" s="163"/>
      <c r="AB92" s="33">
        <v>65299</v>
      </c>
      <c r="AC92" s="43">
        <f t="shared" si="14"/>
        <v>45035.878048780491</v>
      </c>
      <c r="AD92" s="43">
        <f t="shared" si="15"/>
        <v>45035.878048780491</v>
      </c>
      <c r="AE92" s="44">
        <f t="shared" si="16"/>
        <v>2028230311.6246285</v>
      </c>
    </row>
    <row r="93" spans="1:31" ht="15.75" customHeight="1" x14ac:dyDescent="0.3">
      <c r="B93" s="15"/>
      <c r="E93" s="163"/>
      <c r="F93" s="163"/>
      <c r="G93" s="163"/>
      <c r="H93" s="163"/>
      <c r="I93" s="163"/>
    </row>
    <row r="94" spans="1:31" ht="15.75" customHeight="1" x14ac:dyDescent="0.3">
      <c r="B94" s="15"/>
      <c r="E94" s="163"/>
      <c r="F94" s="163"/>
      <c r="G94" s="163"/>
      <c r="H94" s="163"/>
      <c r="I94" s="163"/>
    </row>
    <row r="95" spans="1:31" ht="15.75" customHeight="1" x14ac:dyDescent="0.3">
      <c r="B95" s="15"/>
      <c r="E95" s="163"/>
      <c r="F95" s="163"/>
      <c r="G95" s="163"/>
      <c r="H95" s="163"/>
      <c r="I95" s="163"/>
    </row>
    <row r="96" spans="1:31" ht="15.75" customHeight="1" x14ac:dyDescent="0.3">
      <c r="B96" s="15"/>
      <c r="E96" s="163"/>
      <c r="F96" s="163"/>
      <c r="G96" s="163"/>
      <c r="H96" s="163"/>
      <c r="I96" s="163"/>
    </row>
    <row r="97" spans="2:9" ht="44.25" customHeight="1" x14ac:dyDescent="0.3">
      <c r="B97" s="15"/>
      <c r="E97" s="163"/>
      <c r="F97" s="163"/>
      <c r="G97" s="163"/>
      <c r="H97" s="163"/>
      <c r="I97" s="163"/>
    </row>
    <row r="98" spans="2:9" ht="15.75" customHeight="1" x14ac:dyDescent="0.3">
      <c r="B98" s="15"/>
    </row>
    <row r="99" spans="2:9" ht="15.75" customHeight="1" x14ac:dyDescent="0.3">
      <c r="B99" s="15"/>
    </row>
    <row r="100" spans="2:9" ht="15.75" customHeight="1" x14ac:dyDescent="0.3">
      <c r="B100" s="15"/>
    </row>
    <row r="101" spans="2:9" ht="15.75" customHeight="1" x14ac:dyDescent="0.3">
      <c r="B101" s="15"/>
    </row>
    <row r="102" spans="2:9" ht="15.75" customHeight="1" x14ac:dyDescent="0.3">
      <c r="B102" s="15"/>
    </row>
    <row r="103" spans="2:9" ht="15.75" customHeight="1" x14ac:dyDescent="0.3">
      <c r="B103" s="15"/>
    </row>
    <row r="104" spans="2:9" ht="15.75" customHeight="1" x14ac:dyDescent="0.3">
      <c r="B104" s="15"/>
    </row>
    <row r="105" spans="2:9" ht="15.75" customHeight="1" x14ac:dyDescent="0.3">
      <c r="B105" s="15"/>
    </row>
    <row r="106" spans="2:9" ht="15.75" customHeight="1" x14ac:dyDescent="0.3">
      <c r="B106" s="15"/>
    </row>
    <row r="107" spans="2:9" ht="15.75" customHeight="1" x14ac:dyDescent="0.3">
      <c r="B107" s="15"/>
    </row>
    <row r="108" spans="2:9" ht="15.75" customHeight="1" x14ac:dyDescent="0.3">
      <c r="B108" s="15"/>
    </row>
    <row r="109" spans="2:9" ht="15.75" customHeight="1" x14ac:dyDescent="0.3">
      <c r="B109" s="15"/>
    </row>
    <row r="110" spans="2:9" ht="15.75" customHeight="1" x14ac:dyDescent="0.3">
      <c r="B110" s="15"/>
    </row>
    <row r="111" spans="2:9" ht="15.75" customHeight="1" x14ac:dyDescent="0.3">
      <c r="B111" s="15"/>
    </row>
    <row r="112" spans="2:9" ht="15.75" customHeight="1" x14ac:dyDescent="0.3">
      <c r="B112" s="15"/>
    </row>
    <row r="113" spans="2:2" ht="15.75" customHeight="1" x14ac:dyDescent="0.3">
      <c r="B113" s="15"/>
    </row>
    <row r="114" spans="2:2" ht="15.75" customHeight="1" x14ac:dyDescent="0.3">
      <c r="B114" s="15"/>
    </row>
    <row r="115" spans="2:2" ht="15.75" customHeight="1" x14ac:dyDescent="0.3">
      <c r="B115" s="15"/>
    </row>
    <row r="116" spans="2:2" ht="15.75" customHeight="1" x14ac:dyDescent="0.3">
      <c r="B116" s="15"/>
    </row>
    <row r="117" spans="2:2" ht="15.75" customHeight="1" x14ac:dyDescent="0.3">
      <c r="B117" s="15"/>
    </row>
    <row r="118" spans="2:2" ht="15.75" customHeight="1" x14ac:dyDescent="0.3">
      <c r="B118" s="15"/>
    </row>
    <row r="119" spans="2:2" ht="15.75" customHeight="1" x14ac:dyDescent="0.3">
      <c r="B119" s="15"/>
    </row>
    <row r="120" spans="2:2" ht="15.75" customHeight="1" x14ac:dyDescent="0.3">
      <c r="B120" s="15"/>
    </row>
    <row r="121" spans="2:2" ht="15.75" customHeight="1" x14ac:dyDescent="0.3">
      <c r="B121" s="15"/>
    </row>
    <row r="122" spans="2:2" ht="15.75" customHeight="1" x14ac:dyDescent="0.3">
      <c r="B122" s="15"/>
    </row>
    <row r="123" spans="2:2" ht="15.75" customHeight="1" x14ac:dyDescent="0.3">
      <c r="B123" s="15"/>
    </row>
    <row r="124" spans="2:2" ht="15.75" customHeight="1" x14ac:dyDescent="0.3">
      <c r="B124" s="15"/>
    </row>
    <row r="125" spans="2:2" ht="15.75" customHeight="1" x14ac:dyDescent="0.3">
      <c r="B125" s="15"/>
    </row>
    <row r="126" spans="2:2" ht="15.75" customHeight="1" x14ac:dyDescent="0.3">
      <c r="B126" s="15"/>
    </row>
    <row r="127" spans="2:2" ht="15.75" customHeight="1" x14ac:dyDescent="0.3">
      <c r="B127" s="15"/>
    </row>
    <row r="128" spans="2:2" ht="15.75" customHeight="1" x14ac:dyDescent="0.3">
      <c r="B128" s="15"/>
    </row>
    <row r="129" spans="2:2" ht="15.75" customHeight="1" x14ac:dyDescent="0.3">
      <c r="B129" s="15"/>
    </row>
    <row r="130" spans="2:2" ht="15.75" customHeight="1" x14ac:dyDescent="0.3">
      <c r="B130" s="15"/>
    </row>
    <row r="131" spans="2:2" ht="15.75" customHeight="1" x14ac:dyDescent="0.3">
      <c r="B131" s="15"/>
    </row>
    <row r="132" spans="2:2" ht="15.75" customHeight="1" x14ac:dyDescent="0.3">
      <c r="B132" s="15"/>
    </row>
    <row r="133" spans="2:2" ht="15.75" customHeight="1" x14ac:dyDescent="0.3">
      <c r="B133" s="15"/>
    </row>
    <row r="134" spans="2:2" ht="15.75" customHeight="1" x14ac:dyDescent="0.3">
      <c r="B134" s="15"/>
    </row>
    <row r="135" spans="2:2" ht="15.75" customHeight="1" x14ac:dyDescent="0.3">
      <c r="B135" s="15"/>
    </row>
    <row r="136" spans="2:2" ht="15.75" customHeight="1" x14ac:dyDescent="0.3">
      <c r="B136" s="15"/>
    </row>
    <row r="137" spans="2:2" ht="15.75" customHeight="1" x14ac:dyDescent="0.3">
      <c r="B137" s="15"/>
    </row>
    <row r="138" spans="2:2" ht="15.75" customHeight="1" x14ac:dyDescent="0.3">
      <c r="B138" s="15"/>
    </row>
    <row r="139" spans="2:2" ht="15.75" customHeight="1" x14ac:dyDescent="0.3">
      <c r="B139" s="15"/>
    </row>
    <row r="140" spans="2:2" ht="15.75" customHeight="1" x14ac:dyDescent="0.3">
      <c r="B140" s="15"/>
    </row>
    <row r="141" spans="2:2" ht="15.75" customHeight="1" x14ac:dyDescent="0.3">
      <c r="B141" s="15"/>
    </row>
    <row r="142" spans="2:2" ht="15.75" customHeight="1" x14ac:dyDescent="0.3">
      <c r="B142" s="15"/>
    </row>
    <row r="143" spans="2:2" ht="15.75" customHeight="1" x14ac:dyDescent="0.3">
      <c r="B143" s="15"/>
    </row>
    <row r="144" spans="2:2" ht="15.75" customHeight="1" x14ac:dyDescent="0.3">
      <c r="B144" s="15"/>
    </row>
    <row r="145" spans="2:2" ht="15.75" customHeight="1" x14ac:dyDescent="0.3">
      <c r="B145" s="15"/>
    </row>
    <row r="146" spans="2:2" ht="15.75" customHeight="1" x14ac:dyDescent="0.3">
      <c r="B146" s="15"/>
    </row>
    <row r="147" spans="2:2" ht="15.75" customHeight="1" x14ac:dyDescent="0.3">
      <c r="B147" s="15"/>
    </row>
    <row r="148" spans="2:2" ht="15.75" customHeight="1" x14ac:dyDescent="0.3">
      <c r="B148" s="15"/>
    </row>
    <row r="149" spans="2:2" ht="15.75" customHeight="1" x14ac:dyDescent="0.3">
      <c r="B149" s="15"/>
    </row>
    <row r="150" spans="2:2" ht="15.75" customHeight="1" x14ac:dyDescent="0.3">
      <c r="B150" s="15"/>
    </row>
    <row r="151" spans="2:2" ht="15.75" customHeight="1" x14ac:dyDescent="0.3">
      <c r="B151" s="15"/>
    </row>
    <row r="152" spans="2:2" ht="15.75" customHeight="1" x14ac:dyDescent="0.3">
      <c r="B152" s="15"/>
    </row>
    <row r="153" spans="2:2" ht="15.75" customHeight="1" x14ac:dyDescent="0.3">
      <c r="B153" s="15"/>
    </row>
    <row r="154" spans="2:2" ht="15.75" customHeight="1" x14ac:dyDescent="0.3">
      <c r="B154" s="15"/>
    </row>
    <row r="155" spans="2:2" ht="15.75" customHeight="1" x14ac:dyDescent="0.3">
      <c r="B155" s="15"/>
    </row>
    <row r="156" spans="2:2" ht="15.75" customHeight="1" x14ac:dyDescent="0.3">
      <c r="B156" s="15"/>
    </row>
    <row r="157" spans="2:2" ht="15.75" customHeight="1" x14ac:dyDescent="0.3">
      <c r="B157" s="15"/>
    </row>
    <row r="158" spans="2:2" ht="15.75" customHeight="1" x14ac:dyDescent="0.3">
      <c r="B158" s="15"/>
    </row>
    <row r="159" spans="2:2" ht="15.75" customHeight="1" x14ac:dyDescent="0.3">
      <c r="B159" s="15"/>
    </row>
    <row r="160" spans="2:2" ht="15.75" customHeight="1" x14ac:dyDescent="0.3">
      <c r="B160" s="15"/>
    </row>
    <row r="161" spans="2:2" ht="15.75" customHeight="1" x14ac:dyDescent="0.3">
      <c r="B161" s="15"/>
    </row>
    <row r="162" spans="2:2" ht="15.75" customHeight="1" x14ac:dyDescent="0.3">
      <c r="B162" s="15"/>
    </row>
    <row r="163" spans="2:2" ht="15.75" customHeight="1" x14ac:dyDescent="0.3">
      <c r="B163" s="15"/>
    </row>
    <row r="164" spans="2:2" ht="15.75" customHeight="1" x14ac:dyDescent="0.3">
      <c r="B164" s="15"/>
    </row>
    <row r="165" spans="2:2" ht="15.75" customHeight="1" x14ac:dyDescent="0.3">
      <c r="B165" s="15"/>
    </row>
    <row r="166" spans="2:2" ht="15.75" customHeight="1" x14ac:dyDescent="0.3">
      <c r="B166" s="15"/>
    </row>
    <row r="167" spans="2:2" ht="15.75" customHeight="1" x14ac:dyDescent="0.3">
      <c r="B167" s="15"/>
    </row>
    <row r="168" spans="2:2" ht="15.75" customHeight="1" x14ac:dyDescent="0.3">
      <c r="B168" s="15"/>
    </row>
    <row r="169" spans="2:2" ht="15.75" customHeight="1" x14ac:dyDescent="0.3">
      <c r="B169" s="15"/>
    </row>
    <row r="170" spans="2:2" ht="15.75" customHeight="1" x14ac:dyDescent="0.3">
      <c r="B170" s="15"/>
    </row>
    <row r="171" spans="2:2" ht="15.75" customHeight="1" x14ac:dyDescent="0.3">
      <c r="B171" s="15"/>
    </row>
    <row r="172" spans="2:2" ht="15.75" customHeight="1" x14ac:dyDescent="0.3">
      <c r="B172" s="15"/>
    </row>
    <row r="173" spans="2:2" ht="15.75" customHeight="1" x14ac:dyDescent="0.3">
      <c r="B173" s="15"/>
    </row>
    <row r="174" spans="2:2" ht="15.75" customHeight="1" x14ac:dyDescent="0.3">
      <c r="B174" s="15"/>
    </row>
    <row r="175" spans="2:2" ht="15.75" customHeight="1" x14ac:dyDescent="0.3">
      <c r="B175" s="15"/>
    </row>
    <row r="176" spans="2:2" ht="15.75" customHeight="1" x14ac:dyDescent="0.3">
      <c r="B176" s="15"/>
    </row>
    <row r="177" spans="2:2" ht="15.75" customHeight="1" x14ac:dyDescent="0.3">
      <c r="B177" s="15"/>
    </row>
    <row r="178" spans="2:2" ht="15.75" customHeight="1" x14ac:dyDescent="0.3">
      <c r="B178" s="15"/>
    </row>
    <row r="179" spans="2:2" ht="15.75" customHeight="1" x14ac:dyDescent="0.3">
      <c r="B179" s="15"/>
    </row>
    <row r="180" spans="2:2" ht="15.75" customHeight="1" x14ac:dyDescent="0.3">
      <c r="B180" s="15"/>
    </row>
    <row r="181" spans="2:2" ht="15.75" customHeight="1" x14ac:dyDescent="0.3">
      <c r="B181" s="15"/>
    </row>
    <row r="182" spans="2:2" ht="15.75" customHeight="1" x14ac:dyDescent="0.3">
      <c r="B182" s="15"/>
    </row>
    <row r="183" spans="2:2" ht="15.75" customHeight="1" x14ac:dyDescent="0.3">
      <c r="B183" s="15"/>
    </row>
    <row r="184" spans="2:2" ht="15.75" customHeight="1" x14ac:dyDescent="0.3">
      <c r="B184" s="15"/>
    </row>
    <row r="185" spans="2:2" ht="15.75" customHeight="1" x14ac:dyDescent="0.3">
      <c r="B185" s="15"/>
    </row>
    <row r="186" spans="2:2" ht="15.75" customHeight="1" x14ac:dyDescent="0.3">
      <c r="B186" s="15"/>
    </row>
    <row r="187" spans="2:2" ht="15.75" customHeight="1" x14ac:dyDescent="0.3">
      <c r="B187" s="15"/>
    </row>
    <row r="188" spans="2:2" ht="15.75" customHeight="1" x14ac:dyDescent="0.3">
      <c r="B188" s="15"/>
    </row>
    <row r="189" spans="2:2" ht="15.75" customHeight="1" x14ac:dyDescent="0.3">
      <c r="B189" s="15"/>
    </row>
    <row r="190" spans="2:2" ht="15.75" customHeight="1" x14ac:dyDescent="0.3">
      <c r="B190" s="15"/>
    </row>
    <row r="191" spans="2:2" ht="15.75" customHeight="1" x14ac:dyDescent="0.3">
      <c r="B191" s="15"/>
    </row>
    <row r="192" spans="2:2" ht="15.75" customHeight="1" x14ac:dyDescent="0.3">
      <c r="B192" s="15"/>
    </row>
    <row r="193" spans="2:2" ht="15.75" customHeight="1" x14ac:dyDescent="0.3">
      <c r="B193" s="15"/>
    </row>
    <row r="194" spans="2:2" ht="15.75" customHeight="1" x14ac:dyDescent="0.3">
      <c r="B194" s="15"/>
    </row>
    <row r="195" spans="2:2" ht="15.75" customHeight="1" x14ac:dyDescent="0.3">
      <c r="B195" s="15"/>
    </row>
    <row r="196" spans="2:2" ht="15.75" customHeight="1" x14ac:dyDescent="0.3">
      <c r="B196" s="15"/>
    </row>
    <row r="197" spans="2:2" ht="15.75" customHeight="1" x14ac:dyDescent="0.3">
      <c r="B197" s="15"/>
    </row>
    <row r="198" spans="2:2" ht="15.75" customHeight="1" x14ac:dyDescent="0.3">
      <c r="B198" s="15"/>
    </row>
    <row r="199" spans="2:2" ht="15.75" customHeight="1" x14ac:dyDescent="0.3">
      <c r="B199" s="15"/>
    </row>
    <row r="200" spans="2:2" ht="15.75" customHeight="1" x14ac:dyDescent="0.3">
      <c r="B200" s="15"/>
    </row>
    <row r="201" spans="2:2" ht="15.75" customHeight="1" x14ac:dyDescent="0.3">
      <c r="B201" s="15"/>
    </row>
    <row r="202" spans="2:2" ht="15.75" customHeight="1" x14ac:dyDescent="0.3">
      <c r="B202" s="15"/>
    </row>
    <row r="203" spans="2:2" ht="15.75" customHeight="1" x14ac:dyDescent="0.3">
      <c r="B203" s="15"/>
    </row>
    <row r="204" spans="2:2" ht="15.75" customHeight="1" x14ac:dyDescent="0.3">
      <c r="B204" s="15"/>
    </row>
    <row r="205" spans="2:2" ht="15.75" customHeight="1" x14ac:dyDescent="0.3">
      <c r="B205" s="15"/>
    </row>
    <row r="206" spans="2:2" ht="15.75" customHeight="1" x14ac:dyDescent="0.3">
      <c r="B206" s="15"/>
    </row>
    <row r="207" spans="2:2" ht="15.75" customHeight="1" x14ac:dyDescent="0.3">
      <c r="B207" s="15"/>
    </row>
    <row r="208" spans="2:2" ht="15.75" customHeight="1" x14ac:dyDescent="0.3">
      <c r="B208" s="15"/>
    </row>
    <row r="209" spans="2:2" ht="15.75" customHeight="1" x14ac:dyDescent="0.3">
      <c r="B209" s="15"/>
    </row>
    <row r="210" spans="2:2" ht="15.75" customHeight="1" x14ac:dyDescent="0.3">
      <c r="B210" s="15"/>
    </row>
    <row r="211" spans="2:2" ht="15.75" customHeight="1" x14ac:dyDescent="0.3">
      <c r="B211" s="15"/>
    </row>
    <row r="212" spans="2:2" ht="15.75" customHeight="1" x14ac:dyDescent="0.3">
      <c r="B212" s="15"/>
    </row>
    <row r="213" spans="2:2" ht="15.75" customHeight="1" x14ac:dyDescent="0.3">
      <c r="B213" s="15"/>
    </row>
    <row r="214" spans="2:2" ht="15.75" customHeight="1" x14ac:dyDescent="0.3">
      <c r="B214" s="15"/>
    </row>
    <row r="215" spans="2:2" ht="15.75" customHeight="1" x14ac:dyDescent="0.3">
      <c r="B215" s="15"/>
    </row>
    <row r="216" spans="2:2" ht="15.75" customHeight="1" x14ac:dyDescent="0.3">
      <c r="B216" s="15"/>
    </row>
    <row r="217" spans="2:2" ht="15.75" customHeight="1" x14ac:dyDescent="0.3">
      <c r="B217" s="15"/>
    </row>
    <row r="218" spans="2:2" ht="15.75" customHeight="1" x14ac:dyDescent="0.3">
      <c r="B218" s="15"/>
    </row>
    <row r="219" spans="2:2" ht="15.75" customHeight="1" x14ac:dyDescent="0.3">
      <c r="B219" s="15"/>
    </row>
    <row r="220" spans="2:2" ht="15.75" customHeight="1" x14ac:dyDescent="0.3">
      <c r="B220" s="15"/>
    </row>
    <row r="221" spans="2:2" ht="15.75" customHeight="1" x14ac:dyDescent="0.3">
      <c r="B221" s="15"/>
    </row>
    <row r="222" spans="2:2" ht="15.75" customHeight="1" x14ac:dyDescent="0.3">
      <c r="B222" s="15"/>
    </row>
    <row r="223" spans="2:2" ht="15.75" customHeight="1" x14ac:dyDescent="0.3">
      <c r="B223" s="15"/>
    </row>
    <row r="224" spans="2:2" ht="15.75" customHeight="1" x14ac:dyDescent="0.3">
      <c r="B224" s="15"/>
    </row>
    <row r="225" spans="2:2" ht="15.75" customHeight="1" x14ac:dyDescent="0.3">
      <c r="B225" s="15"/>
    </row>
    <row r="226" spans="2:2" ht="15.75" customHeight="1" x14ac:dyDescent="0.3">
      <c r="B226" s="15"/>
    </row>
    <row r="227" spans="2:2" ht="15.75" customHeight="1" x14ac:dyDescent="0.3">
      <c r="B227" s="15"/>
    </row>
    <row r="228" spans="2:2" ht="15.75" customHeight="1" x14ac:dyDescent="0.3">
      <c r="B228" s="15"/>
    </row>
    <row r="229" spans="2:2" ht="15.75" customHeight="1" x14ac:dyDescent="0.3">
      <c r="B229" s="15"/>
    </row>
    <row r="230" spans="2:2" ht="15.75" customHeight="1" x14ac:dyDescent="0.3">
      <c r="B230" s="15"/>
    </row>
    <row r="231" spans="2:2" ht="15.75" customHeight="1" x14ac:dyDescent="0.3">
      <c r="B231" s="15"/>
    </row>
    <row r="232" spans="2:2" ht="15.75" customHeight="1" x14ac:dyDescent="0.3">
      <c r="B232" s="15"/>
    </row>
    <row r="233" spans="2:2" ht="15.75" customHeight="1" x14ac:dyDescent="0.3">
      <c r="B233" s="15"/>
    </row>
    <row r="234" spans="2:2" ht="15.75" customHeight="1" x14ac:dyDescent="0.3">
      <c r="B234" s="15"/>
    </row>
    <row r="235" spans="2:2" ht="15.75" customHeight="1" x14ac:dyDescent="0.3">
      <c r="B235" s="15"/>
    </row>
    <row r="236" spans="2:2" ht="15.75" customHeight="1" x14ac:dyDescent="0.3">
      <c r="B236" s="15"/>
    </row>
    <row r="237" spans="2:2" ht="15.75" customHeight="1" x14ac:dyDescent="0.3">
      <c r="B237" s="15"/>
    </row>
    <row r="238" spans="2:2" ht="15.75" customHeight="1" x14ac:dyDescent="0.3">
      <c r="B238" s="15"/>
    </row>
    <row r="239" spans="2:2" ht="15.75" customHeight="1" x14ac:dyDescent="0.3">
      <c r="B239" s="15"/>
    </row>
    <row r="240" spans="2:2" ht="15.75" customHeight="1" x14ac:dyDescent="0.3">
      <c r="B240" s="15"/>
    </row>
    <row r="241" spans="2:2" ht="15.75" customHeight="1" x14ac:dyDescent="0.3">
      <c r="B241" s="15"/>
    </row>
    <row r="242" spans="2:2" ht="15.75" customHeight="1" x14ac:dyDescent="0.3">
      <c r="B242" s="15"/>
    </row>
    <row r="243" spans="2:2" ht="15.75" customHeight="1" x14ac:dyDescent="0.3">
      <c r="B243" s="15"/>
    </row>
    <row r="244" spans="2:2" ht="15.75" customHeight="1" x14ac:dyDescent="0.3">
      <c r="B244" s="15"/>
    </row>
    <row r="245" spans="2:2" ht="15.75" customHeight="1" x14ac:dyDescent="0.3">
      <c r="B245" s="15"/>
    </row>
    <row r="246" spans="2:2" ht="15.75" customHeight="1" x14ac:dyDescent="0.3">
      <c r="B246" s="15"/>
    </row>
    <row r="247" spans="2:2" ht="15.75" customHeight="1" x14ac:dyDescent="0.3">
      <c r="B247" s="15"/>
    </row>
    <row r="248" spans="2:2" ht="15.75" customHeight="1" x14ac:dyDescent="0.3">
      <c r="B248" s="15"/>
    </row>
    <row r="249" spans="2:2" ht="15.75" customHeight="1" x14ac:dyDescent="0.3">
      <c r="B249" s="15"/>
    </row>
    <row r="250" spans="2:2" ht="15.75" customHeight="1" x14ac:dyDescent="0.3">
      <c r="B250" s="15"/>
    </row>
    <row r="251" spans="2:2" ht="15.75" customHeight="1" x14ac:dyDescent="0.3">
      <c r="B251" s="15"/>
    </row>
    <row r="252" spans="2:2" ht="15.75" customHeight="1" x14ac:dyDescent="0.3">
      <c r="B252" s="15"/>
    </row>
    <row r="253" spans="2:2" ht="15.75" customHeight="1" x14ac:dyDescent="0.3">
      <c r="B253" s="15"/>
    </row>
    <row r="254" spans="2:2" ht="15.75" customHeight="1" x14ac:dyDescent="0.3">
      <c r="B254" s="15"/>
    </row>
    <row r="255" spans="2:2" ht="15.75" customHeight="1" x14ac:dyDescent="0.3">
      <c r="B255" s="15"/>
    </row>
    <row r="256" spans="2:2" ht="15.75" customHeight="1" x14ac:dyDescent="0.3">
      <c r="B256" s="15"/>
    </row>
    <row r="257" spans="2:2" ht="15.75" customHeight="1" x14ac:dyDescent="0.3">
      <c r="B257" s="15"/>
    </row>
    <row r="258" spans="2:2" ht="15.75" customHeight="1" x14ac:dyDescent="0.3">
      <c r="B258" s="15"/>
    </row>
    <row r="259" spans="2:2" ht="15.75" customHeight="1" x14ac:dyDescent="0.3">
      <c r="B259" s="15"/>
    </row>
    <row r="260" spans="2:2" ht="15.75" customHeight="1" x14ac:dyDescent="0.3">
      <c r="B260" s="15"/>
    </row>
    <row r="261" spans="2:2" ht="15.75" customHeight="1" x14ac:dyDescent="0.3">
      <c r="B261" s="15"/>
    </row>
    <row r="262" spans="2:2" ht="15.75" customHeight="1" x14ac:dyDescent="0.3">
      <c r="B262" s="15"/>
    </row>
    <row r="263" spans="2:2" ht="15.75" customHeight="1" x14ac:dyDescent="0.3">
      <c r="B263" s="15"/>
    </row>
    <row r="264" spans="2:2" ht="15.75" customHeight="1" x14ac:dyDescent="0.3">
      <c r="B264" s="15"/>
    </row>
    <row r="265" spans="2:2" ht="15.75" customHeight="1" x14ac:dyDescent="0.3">
      <c r="B265" s="15"/>
    </row>
    <row r="266" spans="2:2" ht="15.75" customHeight="1" x14ac:dyDescent="0.3">
      <c r="B266" s="15"/>
    </row>
    <row r="267" spans="2:2" ht="15.75" customHeight="1" x14ac:dyDescent="0.3">
      <c r="B267" s="15"/>
    </row>
    <row r="268" spans="2:2" ht="15.75" customHeight="1" x14ac:dyDescent="0.3">
      <c r="B268" s="15"/>
    </row>
    <row r="269" spans="2:2" ht="15.75" customHeight="1" x14ac:dyDescent="0.3">
      <c r="B269" s="15"/>
    </row>
    <row r="270" spans="2:2" ht="15.75" customHeight="1" x14ac:dyDescent="0.3">
      <c r="B270" s="15"/>
    </row>
    <row r="271" spans="2:2" ht="15.75" customHeight="1" x14ac:dyDescent="0.3">
      <c r="B271" s="15"/>
    </row>
    <row r="272" spans="2:2" ht="15.75" customHeight="1" x14ac:dyDescent="0.3">
      <c r="B272" s="15"/>
    </row>
    <row r="273" spans="2:2" ht="15.75" customHeight="1" x14ac:dyDescent="0.3">
      <c r="B273" s="15"/>
    </row>
    <row r="274" spans="2:2" ht="15.75" customHeight="1" x14ac:dyDescent="0.3">
      <c r="B274" s="15"/>
    </row>
    <row r="275" spans="2:2" ht="15.75" customHeight="1" x14ac:dyDescent="0.3">
      <c r="B275" s="15"/>
    </row>
    <row r="276" spans="2:2" ht="15.75" customHeight="1" x14ac:dyDescent="0.3">
      <c r="B276" s="15"/>
    </row>
    <row r="277" spans="2:2" ht="15.75" customHeight="1" x14ac:dyDescent="0.3">
      <c r="B277" s="15"/>
    </row>
    <row r="278" spans="2:2" ht="15.75" customHeight="1" x14ac:dyDescent="0.3">
      <c r="B278" s="15"/>
    </row>
    <row r="279" spans="2:2" ht="15.75" customHeight="1" x14ac:dyDescent="0.3">
      <c r="B279" s="15"/>
    </row>
    <row r="280" spans="2:2" ht="15.75" customHeight="1" x14ac:dyDescent="0.3">
      <c r="B280" s="15"/>
    </row>
    <row r="281" spans="2:2" ht="15.75" customHeight="1" x14ac:dyDescent="0.3">
      <c r="B281" s="15"/>
    </row>
    <row r="282" spans="2:2" ht="15.75" customHeight="1" x14ac:dyDescent="0.3">
      <c r="B282" s="15"/>
    </row>
    <row r="283" spans="2:2" ht="15.75" customHeight="1" x14ac:dyDescent="0.3">
      <c r="B283" s="15"/>
    </row>
    <row r="284" spans="2:2" ht="15.75" customHeight="1" x14ac:dyDescent="0.3">
      <c r="B284" s="15"/>
    </row>
    <row r="285" spans="2:2" ht="15.75" customHeight="1" x14ac:dyDescent="0.3">
      <c r="B285" s="15"/>
    </row>
    <row r="286" spans="2:2" ht="15.75" customHeight="1" x14ac:dyDescent="0.3">
      <c r="B286" s="15"/>
    </row>
    <row r="287" spans="2:2" ht="15.75" customHeight="1" x14ac:dyDescent="0.3">
      <c r="B287" s="15"/>
    </row>
    <row r="288" spans="2:2" ht="15.75" customHeight="1" x14ac:dyDescent="0.3">
      <c r="B288" s="15"/>
    </row>
    <row r="289" spans="2:2" ht="15.75" customHeight="1" x14ac:dyDescent="0.3">
      <c r="B289" s="15"/>
    </row>
    <row r="290" spans="2:2" ht="15.75" customHeight="1" x14ac:dyDescent="0.3">
      <c r="B290" s="15"/>
    </row>
    <row r="291" spans="2:2" ht="15.75" customHeight="1" x14ac:dyDescent="0.3">
      <c r="B291" s="15"/>
    </row>
    <row r="292" spans="2:2" ht="15.75" customHeight="1" x14ac:dyDescent="0.3">
      <c r="B292" s="15"/>
    </row>
    <row r="293" spans="2:2" ht="15.75" customHeight="1" x14ac:dyDescent="0.3">
      <c r="B293" s="15"/>
    </row>
    <row r="294" spans="2:2" ht="15.75" customHeight="1" x14ac:dyDescent="0.3">
      <c r="B294" s="15"/>
    </row>
    <row r="295" spans="2:2" ht="15.75" customHeight="1" x14ac:dyDescent="0.3">
      <c r="B295" s="15"/>
    </row>
    <row r="296" spans="2:2" ht="15.75" customHeight="1" x14ac:dyDescent="0.3">
      <c r="B296" s="15"/>
    </row>
    <row r="297" spans="2:2" ht="15.75" customHeight="1" x14ac:dyDescent="0.3">
      <c r="B297" s="15"/>
    </row>
    <row r="298" spans="2:2" ht="15.75" customHeight="1" x14ac:dyDescent="0.3">
      <c r="B298" s="15"/>
    </row>
    <row r="299" spans="2:2" ht="15.75" customHeight="1" x14ac:dyDescent="0.3">
      <c r="B299" s="15"/>
    </row>
    <row r="300" spans="2:2" ht="15.75" customHeight="1" x14ac:dyDescent="0.3">
      <c r="B300" s="15"/>
    </row>
    <row r="301" spans="2:2" ht="15.75" customHeight="1" x14ac:dyDescent="0.3">
      <c r="B301" s="15"/>
    </row>
    <row r="302" spans="2:2" ht="15.75" customHeight="1" x14ac:dyDescent="0.3">
      <c r="B302" s="15"/>
    </row>
    <row r="303" spans="2:2" ht="15.75" customHeight="1" x14ac:dyDescent="0.3">
      <c r="B303" s="15"/>
    </row>
    <row r="304" spans="2:2" ht="15.75" customHeight="1" x14ac:dyDescent="0.3">
      <c r="B304" s="15"/>
    </row>
    <row r="305" spans="2:2" ht="15.75" customHeight="1" x14ac:dyDescent="0.3">
      <c r="B305" s="15"/>
    </row>
    <row r="306" spans="2:2" ht="15.75" customHeight="1" x14ac:dyDescent="0.3">
      <c r="B306" s="15"/>
    </row>
    <row r="307" spans="2:2" ht="15.75" customHeight="1" x14ac:dyDescent="0.3">
      <c r="B307" s="15"/>
    </row>
    <row r="308" spans="2:2" ht="15.75" customHeight="1" x14ac:dyDescent="0.3">
      <c r="B308" s="15"/>
    </row>
    <row r="309" spans="2:2" ht="15.75" customHeight="1" x14ac:dyDescent="0.3">
      <c r="B309" s="15"/>
    </row>
    <row r="310" spans="2:2" ht="15.75" customHeight="1" x14ac:dyDescent="0.3">
      <c r="B310" s="15"/>
    </row>
    <row r="311" spans="2:2" ht="15.75" customHeight="1" x14ac:dyDescent="0.3">
      <c r="B311" s="15"/>
    </row>
    <row r="312" spans="2:2" ht="15.75" customHeight="1" x14ac:dyDescent="0.3">
      <c r="B312" s="15"/>
    </row>
    <row r="313" spans="2:2" ht="15.75" customHeight="1" x14ac:dyDescent="0.3">
      <c r="B313" s="15"/>
    </row>
    <row r="314" spans="2:2" ht="15.75" customHeight="1" x14ac:dyDescent="0.3">
      <c r="B314" s="15"/>
    </row>
    <row r="315" spans="2:2" ht="15.75" customHeight="1" x14ac:dyDescent="0.3">
      <c r="B315" s="15"/>
    </row>
    <row r="316" spans="2:2" ht="15.75" customHeight="1" x14ac:dyDescent="0.3">
      <c r="B316" s="15"/>
    </row>
    <row r="317" spans="2:2" ht="15.75" customHeight="1" x14ac:dyDescent="0.3">
      <c r="B317" s="15"/>
    </row>
    <row r="318" spans="2:2" ht="15.75" customHeight="1" x14ac:dyDescent="0.3">
      <c r="B318" s="15"/>
    </row>
    <row r="319" spans="2:2" ht="15.75" customHeight="1" x14ac:dyDescent="0.3">
      <c r="B319" s="15"/>
    </row>
    <row r="320" spans="2:2" ht="15.75" customHeight="1" x14ac:dyDescent="0.3">
      <c r="B320" s="15"/>
    </row>
    <row r="321" spans="2:2" ht="15.75" customHeight="1" x14ac:dyDescent="0.3">
      <c r="B321" s="15"/>
    </row>
    <row r="322" spans="2:2" ht="15.75" customHeight="1" x14ac:dyDescent="0.3">
      <c r="B322" s="15"/>
    </row>
    <row r="323" spans="2:2" ht="15.75" customHeight="1" x14ac:dyDescent="0.3">
      <c r="B323" s="15"/>
    </row>
    <row r="324" spans="2:2" ht="15.75" customHeight="1" x14ac:dyDescent="0.3">
      <c r="B324" s="15"/>
    </row>
    <row r="325" spans="2:2" ht="15.75" customHeight="1" x14ac:dyDescent="0.3">
      <c r="B325" s="15"/>
    </row>
    <row r="326" spans="2:2" ht="15.75" customHeight="1" x14ac:dyDescent="0.3">
      <c r="B326" s="15"/>
    </row>
    <row r="327" spans="2:2" ht="15.75" customHeight="1" x14ac:dyDescent="0.3">
      <c r="B327" s="15"/>
    </row>
    <row r="328" spans="2:2" ht="15.75" customHeight="1" x14ac:dyDescent="0.3">
      <c r="B328" s="15"/>
    </row>
    <row r="329" spans="2:2" ht="15.75" customHeight="1" x14ac:dyDescent="0.3">
      <c r="B329" s="15"/>
    </row>
    <row r="330" spans="2:2" ht="15.75" customHeight="1" x14ac:dyDescent="0.3">
      <c r="B330" s="15"/>
    </row>
    <row r="331" spans="2:2" ht="15.75" customHeight="1" x14ac:dyDescent="0.3">
      <c r="B331" s="15"/>
    </row>
    <row r="332" spans="2:2" ht="15.75" customHeight="1" x14ac:dyDescent="0.3">
      <c r="B332" s="15"/>
    </row>
    <row r="333" spans="2:2" ht="15.75" customHeight="1" x14ac:dyDescent="0.3">
      <c r="B333" s="15"/>
    </row>
    <row r="334" spans="2:2" ht="15.75" customHeight="1" x14ac:dyDescent="0.3">
      <c r="B334" s="15"/>
    </row>
    <row r="335" spans="2:2" ht="15.75" customHeight="1" x14ac:dyDescent="0.3">
      <c r="B335" s="15"/>
    </row>
    <row r="336" spans="2:2" ht="15.75" customHeight="1" x14ac:dyDescent="0.3">
      <c r="B336" s="15"/>
    </row>
    <row r="337" spans="2:2" ht="15.75" customHeight="1" x14ac:dyDescent="0.3">
      <c r="B337" s="15"/>
    </row>
    <row r="338" spans="2:2" ht="15.75" customHeight="1" x14ac:dyDescent="0.3">
      <c r="B338" s="15"/>
    </row>
    <row r="339" spans="2:2" ht="15.75" customHeight="1" x14ac:dyDescent="0.3">
      <c r="B339" s="15"/>
    </row>
    <row r="340" spans="2:2" ht="15.75" customHeight="1" x14ac:dyDescent="0.3">
      <c r="B340" s="15"/>
    </row>
    <row r="341" spans="2:2" ht="15.75" customHeight="1" x14ac:dyDescent="0.3">
      <c r="B341" s="15"/>
    </row>
    <row r="342" spans="2:2" ht="15.75" customHeight="1" x14ac:dyDescent="0.3">
      <c r="B342" s="15"/>
    </row>
    <row r="343" spans="2:2" ht="15.75" customHeight="1" x14ac:dyDescent="0.3">
      <c r="B343" s="15"/>
    </row>
    <row r="344" spans="2:2" ht="15.75" customHeight="1" x14ac:dyDescent="0.3">
      <c r="B344" s="15"/>
    </row>
    <row r="345" spans="2:2" ht="15.75" customHeight="1" x14ac:dyDescent="0.3">
      <c r="B345" s="15"/>
    </row>
    <row r="346" spans="2:2" ht="15.75" customHeight="1" x14ac:dyDescent="0.3">
      <c r="B346" s="15"/>
    </row>
    <row r="347" spans="2:2" ht="15.75" customHeight="1" x14ac:dyDescent="0.3">
      <c r="B347" s="15"/>
    </row>
    <row r="348" spans="2:2" ht="15.75" customHeight="1" x14ac:dyDescent="0.3">
      <c r="B348" s="15"/>
    </row>
    <row r="349" spans="2:2" ht="15.75" customHeight="1" x14ac:dyDescent="0.3">
      <c r="B349" s="15"/>
    </row>
    <row r="350" spans="2:2" ht="15.75" customHeight="1" x14ac:dyDescent="0.3">
      <c r="B350" s="15"/>
    </row>
    <row r="351" spans="2:2" ht="15.75" customHeight="1" x14ac:dyDescent="0.3">
      <c r="B351" s="15"/>
    </row>
    <row r="352" spans="2:2" ht="15.75" customHeight="1" x14ac:dyDescent="0.3">
      <c r="B352" s="15"/>
    </row>
    <row r="353" spans="2:2" ht="15.75" customHeight="1" x14ac:dyDescent="0.3">
      <c r="B353" s="15"/>
    </row>
    <row r="354" spans="2:2" ht="15.75" customHeight="1" x14ac:dyDescent="0.3">
      <c r="B354" s="15"/>
    </row>
    <row r="355" spans="2:2" ht="15.75" customHeight="1" x14ac:dyDescent="0.3">
      <c r="B355" s="15"/>
    </row>
    <row r="356" spans="2:2" ht="15.75" customHeight="1" x14ac:dyDescent="0.3">
      <c r="B356" s="15"/>
    </row>
    <row r="357" spans="2:2" ht="15.75" customHeight="1" x14ac:dyDescent="0.3">
      <c r="B357" s="15"/>
    </row>
    <row r="358" spans="2:2" ht="15.75" customHeight="1" x14ac:dyDescent="0.3">
      <c r="B358" s="15"/>
    </row>
    <row r="359" spans="2:2" ht="15.75" customHeight="1" x14ac:dyDescent="0.3">
      <c r="B359" s="15"/>
    </row>
    <row r="360" spans="2:2" ht="15.75" customHeight="1" x14ac:dyDescent="0.3">
      <c r="B360" s="15"/>
    </row>
    <row r="361" spans="2:2" ht="15.75" customHeight="1" x14ac:dyDescent="0.3">
      <c r="B361" s="15"/>
    </row>
    <row r="362" spans="2:2" ht="15.75" customHeight="1" x14ac:dyDescent="0.3">
      <c r="B362" s="15"/>
    </row>
    <row r="363" spans="2:2" ht="15.75" customHeight="1" x14ac:dyDescent="0.3">
      <c r="B363" s="15"/>
    </row>
    <row r="364" spans="2:2" ht="15.75" customHeight="1" x14ac:dyDescent="0.3">
      <c r="B364" s="15"/>
    </row>
    <row r="365" spans="2:2" ht="15.75" customHeight="1" x14ac:dyDescent="0.3">
      <c r="B365" s="15"/>
    </row>
    <row r="366" spans="2:2" ht="15.75" customHeight="1" x14ac:dyDescent="0.3">
      <c r="B366" s="15"/>
    </row>
    <row r="367" spans="2:2" ht="15.75" customHeight="1" x14ac:dyDescent="0.3">
      <c r="B367" s="15"/>
    </row>
    <row r="368" spans="2:2" ht="15.75" customHeight="1" x14ac:dyDescent="0.3">
      <c r="B368" s="15"/>
    </row>
    <row r="369" spans="2:2" ht="15.75" customHeight="1" x14ac:dyDescent="0.3">
      <c r="B369" s="15"/>
    </row>
    <row r="370" spans="2:2" ht="15.75" customHeight="1" x14ac:dyDescent="0.3">
      <c r="B370" s="15"/>
    </row>
    <row r="371" spans="2:2" ht="15.75" customHeight="1" x14ac:dyDescent="0.3">
      <c r="B371" s="15"/>
    </row>
    <row r="372" spans="2:2" ht="15.75" customHeight="1" x14ac:dyDescent="0.3">
      <c r="B372" s="15"/>
    </row>
    <row r="373" spans="2:2" ht="15.75" customHeight="1" x14ac:dyDescent="0.3">
      <c r="B373" s="15"/>
    </row>
    <row r="374" spans="2:2" ht="15.75" customHeight="1" x14ac:dyDescent="0.3">
      <c r="B374" s="15"/>
    </row>
    <row r="375" spans="2:2" ht="15.75" customHeight="1" x14ac:dyDescent="0.3">
      <c r="B375" s="15"/>
    </row>
    <row r="376" spans="2:2" ht="15.75" customHeight="1" x14ac:dyDescent="0.3">
      <c r="B376" s="15"/>
    </row>
    <row r="377" spans="2:2" ht="15.75" customHeight="1" x14ac:dyDescent="0.3">
      <c r="B377" s="15"/>
    </row>
    <row r="378" spans="2:2" ht="15.75" customHeight="1" x14ac:dyDescent="0.3">
      <c r="B378" s="15"/>
    </row>
    <row r="379" spans="2:2" ht="15.75" customHeight="1" x14ac:dyDescent="0.3">
      <c r="B379" s="15"/>
    </row>
    <row r="380" spans="2:2" ht="15.75" customHeight="1" x14ac:dyDescent="0.3">
      <c r="B380" s="15"/>
    </row>
    <row r="381" spans="2:2" ht="15.75" customHeight="1" x14ac:dyDescent="0.3">
      <c r="B381" s="15"/>
    </row>
    <row r="382" spans="2:2" ht="15.75" customHeight="1" x14ac:dyDescent="0.3">
      <c r="B382" s="15"/>
    </row>
    <row r="383" spans="2:2" ht="15.75" customHeight="1" x14ac:dyDescent="0.3">
      <c r="B383" s="15"/>
    </row>
    <row r="384" spans="2:2" ht="15.75" customHeight="1" x14ac:dyDescent="0.3">
      <c r="B384" s="15"/>
    </row>
    <row r="385" spans="2:2" ht="15.75" customHeight="1" x14ac:dyDescent="0.3">
      <c r="B385" s="15"/>
    </row>
    <row r="386" spans="2:2" ht="15.75" customHeight="1" x14ac:dyDescent="0.3">
      <c r="B386" s="15"/>
    </row>
    <row r="387" spans="2:2" ht="15.75" customHeight="1" x14ac:dyDescent="0.3">
      <c r="B387" s="15"/>
    </row>
    <row r="388" spans="2:2" ht="15.75" customHeight="1" x14ac:dyDescent="0.3">
      <c r="B388" s="15"/>
    </row>
    <row r="389" spans="2:2" ht="15.75" customHeight="1" x14ac:dyDescent="0.3">
      <c r="B389" s="15"/>
    </row>
    <row r="390" spans="2:2" ht="15.75" customHeight="1" x14ac:dyDescent="0.3">
      <c r="B390" s="15"/>
    </row>
    <row r="391" spans="2:2" ht="15.75" customHeight="1" x14ac:dyDescent="0.3">
      <c r="B391" s="15"/>
    </row>
    <row r="392" spans="2:2" ht="15.75" customHeight="1" x14ac:dyDescent="0.3">
      <c r="B392" s="15"/>
    </row>
    <row r="393" spans="2:2" ht="15.75" customHeight="1" x14ac:dyDescent="0.3">
      <c r="B393" s="15"/>
    </row>
    <row r="394" spans="2:2" ht="15.75" customHeight="1" x14ac:dyDescent="0.3">
      <c r="B394" s="15"/>
    </row>
    <row r="395" spans="2:2" ht="15.75" customHeight="1" x14ac:dyDescent="0.3">
      <c r="B395" s="15"/>
    </row>
    <row r="396" spans="2:2" ht="15.75" customHeight="1" x14ac:dyDescent="0.3">
      <c r="B396" s="15"/>
    </row>
    <row r="397" spans="2:2" ht="15.75" customHeight="1" x14ac:dyDescent="0.3">
      <c r="B397" s="15"/>
    </row>
    <row r="398" spans="2:2" ht="15.75" customHeight="1" x14ac:dyDescent="0.3">
      <c r="B398" s="15"/>
    </row>
    <row r="399" spans="2:2" ht="15.75" customHeight="1" x14ac:dyDescent="0.3">
      <c r="B399" s="15"/>
    </row>
    <row r="400" spans="2:2" ht="15.75" customHeight="1" x14ac:dyDescent="0.3">
      <c r="B400" s="15"/>
    </row>
    <row r="401" spans="2:2" ht="15.75" customHeight="1" x14ac:dyDescent="0.3">
      <c r="B401" s="15"/>
    </row>
    <row r="402" spans="2:2" ht="15.75" customHeight="1" x14ac:dyDescent="0.3">
      <c r="B402" s="15"/>
    </row>
    <row r="403" spans="2:2" ht="15.75" customHeight="1" x14ac:dyDescent="0.3">
      <c r="B403" s="15"/>
    </row>
    <row r="404" spans="2:2" ht="15.75" customHeight="1" x14ac:dyDescent="0.3">
      <c r="B404" s="15"/>
    </row>
    <row r="405" spans="2:2" ht="15.75" customHeight="1" x14ac:dyDescent="0.3">
      <c r="B405" s="15"/>
    </row>
    <row r="406" spans="2:2" ht="15.75" customHeight="1" x14ac:dyDescent="0.3">
      <c r="B406" s="15"/>
    </row>
    <row r="407" spans="2:2" ht="15.75" customHeight="1" x14ac:dyDescent="0.3">
      <c r="B407" s="15"/>
    </row>
    <row r="408" spans="2:2" ht="15.75" customHeight="1" x14ac:dyDescent="0.3">
      <c r="B408" s="15"/>
    </row>
    <row r="409" spans="2:2" ht="15.75" customHeight="1" x14ac:dyDescent="0.3">
      <c r="B409" s="15"/>
    </row>
    <row r="410" spans="2:2" ht="15.75" customHeight="1" x14ac:dyDescent="0.3">
      <c r="B410" s="15"/>
    </row>
    <row r="411" spans="2:2" ht="15.75" customHeight="1" x14ac:dyDescent="0.3">
      <c r="B411" s="15"/>
    </row>
    <row r="412" spans="2:2" ht="15.75" customHeight="1" x14ac:dyDescent="0.3">
      <c r="B412" s="15"/>
    </row>
    <row r="413" spans="2:2" ht="15.75" customHeight="1" x14ac:dyDescent="0.3">
      <c r="B413" s="15"/>
    </row>
    <row r="414" spans="2:2" ht="15.75" customHeight="1" x14ac:dyDescent="0.3">
      <c r="B414" s="15"/>
    </row>
    <row r="415" spans="2:2" ht="15.75" customHeight="1" x14ac:dyDescent="0.3">
      <c r="B415" s="15"/>
    </row>
    <row r="416" spans="2:2" ht="15.75" customHeight="1" x14ac:dyDescent="0.3">
      <c r="B416" s="15"/>
    </row>
    <row r="417" spans="2:2" ht="15.75" customHeight="1" x14ac:dyDescent="0.3">
      <c r="B417" s="15"/>
    </row>
    <row r="418" spans="2:2" ht="15.75" customHeight="1" x14ac:dyDescent="0.3">
      <c r="B418" s="15"/>
    </row>
    <row r="419" spans="2:2" ht="15.75" customHeight="1" x14ac:dyDescent="0.3">
      <c r="B419" s="15"/>
    </row>
    <row r="420" spans="2:2" ht="15.75" customHeight="1" x14ac:dyDescent="0.3">
      <c r="B420" s="15"/>
    </row>
    <row r="421" spans="2:2" ht="15.75" customHeight="1" x14ac:dyDescent="0.3">
      <c r="B421" s="15"/>
    </row>
    <row r="422" spans="2:2" ht="15.75" customHeight="1" x14ac:dyDescent="0.3">
      <c r="B422" s="15"/>
    </row>
    <row r="423" spans="2:2" ht="15.75" customHeight="1" x14ac:dyDescent="0.3">
      <c r="B423" s="15"/>
    </row>
    <row r="424" spans="2:2" ht="15.75" customHeight="1" x14ac:dyDescent="0.3">
      <c r="B424" s="15"/>
    </row>
    <row r="425" spans="2:2" ht="15.75" customHeight="1" x14ac:dyDescent="0.3">
      <c r="B425" s="15"/>
    </row>
    <row r="426" spans="2:2" ht="15.75" customHeight="1" x14ac:dyDescent="0.3">
      <c r="B426" s="15"/>
    </row>
    <row r="427" spans="2:2" ht="15.75" customHeight="1" x14ac:dyDescent="0.3">
      <c r="B427" s="15"/>
    </row>
    <row r="428" spans="2:2" ht="15.75" customHeight="1" x14ac:dyDescent="0.3">
      <c r="B428" s="15"/>
    </row>
    <row r="429" spans="2:2" ht="15.75" customHeight="1" x14ac:dyDescent="0.3">
      <c r="B429" s="15"/>
    </row>
    <row r="430" spans="2:2" ht="15.75" customHeight="1" x14ac:dyDescent="0.3">
      <c r="B430" s="15"/>
    </row>
    <row r="431" spans="2:2" ht="15.75" customHeight="1" x14ac:dyDescent="0.3">
      <c r="B431" s="15"/>
    </row>
    <row r="432" spans="2:2" ht="15.75" customHeight="1" x14ac:dyDescent="0.3">
      <c r="B432" s="15"/>
    </row>
    <row r="433" spans="2:2" ht="15.75" customHeight="1" x14ac:dyDescent="0.3">
      <c r="B433" s="15"/>
    </row>
    <row r="434" spans="2:2" ht="15.75" customHeight="1" x14ac:dyDescent="0.3">
      <c r="B434" s="15"/>
    </row>
    <row r="435" spans="2:2" ht="15.75" customHeight="1" x14ac:dyDescent="0.3">
      <c r="B435" s="15"/>
    </row>
    <row r="436" spans="2:2" ht="15.75" customHeight="1" x14ac:dyDescent="0.3">
      <c r="B436" s="15"/>
    </row>
    <row r="437" spans="2:2" ht="15.75" customHeight="1" x14ac:dyDescent="0.3">
      <c r="B437" s="15"/>
    </row>
    <row r="438" spans="2:2" ht="15.75" customHeight="1" x14ac:dyDescent="0.3">
      <c r="B438" s="15"/>
    </row>
    <row r="439" spans="2:2" ht="15.75" customHeight="1" x14ac:dyDescent="0.3">
      <c r="B439" s="15"/>
    </row>
    <row r="440" spans="2:2" ht="15.75" customHeight="1" x14ac:dyDescent="0.3">
      <c r="B440" s="15"/>
    </row>
    <row r="441" spans="2:2" ht="15.75" customHeight="1" x14ac:dyDescent="0.3">
      <c r="B441" s="15"/>
    </row>
    <row r="442" spans="2:2" ht="15.75" customHeight="1" x14ac:dyDescent="0.3">
      <c r="B442" s="15"/>
    </row>
    <row r="443" spans="2:2" ht="15.75" customHeight="1" x14ac:dyDescent="0.3">
      <c r="B443" s="15"/>
    </row>
    <row r="444" spans="2:2" ht="15.75" customHeight="1" x14ac:dyDescent="0.3">
      <c r="B444" s="15"/>
    </row>
    <row r="445" spans="2:2" ht="15.75" customHeight="1" x14ac:dyDescent="0.3">
      <c r="B445" s="15"/>
    </row>
    <row r="446" spans="2:2" ht="15.75" customHeight="1" x14ac:dyDescent="0.3">
      <c r="B446" s="15"/>
    </row>
    <row r="447" spans="2:2" ht="15.75" customHeight="1" x14ac:dyDescent="0.3">
      <c r="B447" s="15"/>
    </row>
    <row r="448" spans="2:2" ht="15.75" customHeight="1" x14ac:dyDescent="0.3">
      <c r="B448" s="15"/>
    </row>
    <row r="449" spans="2:2" ht="15.75" customHeight="1" x14ac:dyDescent="0.3">
      <c r="B449" s="15"/>
    </row>
    <row r="450" spans="2:2" ht="15.75" customHeight="1" x14ac:dyDescent="0.3">
      <c r="B450" s="15"/>
    </row>
    <row r="451" spans="2:2" ht="15.75" customHeight="1" x14ac:dyDescent="0.3">
      <c r="B451" s="15"/>
    </row>
    <row r="452" spans="2:2" ht="15.75" customHeight="1" x14ac:dyDescent="0.3">
      <c r="B452" s="15"/>
    </row>
    <row r="453" spans="2:2" ht="15.75" customHeight="1" x14ac:dyDescent="0.3">
      <c r="B453" s="15"/>
    </row>
    <row r="454" spans="2:2" ht="15.75" customHeight="1" x14ac:dyDescent="0.3">
      <c r="B454" s="15"/>
    </row>
    <row r="455" spans="2:2" ht="15.75" customHeight="1" x14ac:dyDescent="0.3">
      <c r="B455" s="15"/>
    </row>
    <row r="456" spans="2:2" ht="15.75" customHeight="1" x14ac:dyDescent="0.3">
      <c r="B456" s="15"/>
    </row>
    <row r="457" spans="2:2" ht="15.75" customHeight="1" x14ac:dyDescent="0.3">
      <c r="B457" s="15"/>
    </row>
    <row r="458" spans="2:2" ht="15.75" customHeight="1" x14ac:dyDescent="0.3">
      <c r="B458" s="15"/>
    </row>
    <row r="459" spans="2:2" ht="15.75" customHeight="1" x14ac:dyDescent="0.3">
      <c r="B459" s="15"/>
    </row>
    <row r="460" spans="2:2" ht="15.75" customHeight="1" x14ac:dyDescent="0.3">
      <c r="B460" s="15"/>
    </row>
    <row r="461" spans="2:2" ht="15.75" customHeight="1" x14ac:dyDescent="0.3">
      <c r="B461" s="15"/>
    </row>
    <row r="462" spans="2:2" ht="15.75" customHeight="1" x14ac:dyDescent="0.3">
      <c r="B462" s="15"/>
    </row>
    <row r="463" spans="2:2" ht="15.75" customHeight="1" x14ac:dyDescent="0.3">
      <c r="B463" s="15"/>
    </row>
    <row r="464" spans="2:2" ht="15.75" customHeight="1" x14ac:dyDescent="0.3">
      <c r="B464" s="15"/>
    </row>
    <row r="465" spans="2:2" ht="15.75" customHeight="1" x14ac:dyDescent="0.3">
      <c r="B465" s="15"/>
    </row>
    <row r="466" spans="2:2" ht="15.75" customHeight="1" x14ac:dyDescent="0.3">
      <c r="B466" s="15"/>
    </row>
    <row r="467" spans="2:2" ht="15.75" customHeight="1" x14ac:dyDescent="0.3">
      <c r="B467" s="15"/>
    </row>
    <row r="468" spans="2:2" ht="15.75" customHeight="1" x14ac:dyDescent="0.3">
      <c r="B468" s="15"/>
    </row>
    <row r="469" spans="2:2" ht="15.75" customHeight="1" x14ac:dyDescent="0.3">
      <c r="B469" s="15"/>
    </row>
    <row r="470" spans="2:2" ht="15.75" customHeight="1" x14ac:dyDescent="0.3">
      <c r="B470" s="15"/>
    </row>
    <row r="471" spans="2:2" ht="15.75" customHeight="1" x14ac:dyDescent="0.3">
      <c r="B471" s="15"/>
    </row>
    <row r="472" spans="2:2" ht="15.75" customHeight="1" x14ac:dyDescent="0.3">
      <c r="B472" s="15"/>
    </row>
    <row r="473" spans="2:2" ht="15.75" customHeight="1" x14ac:dyDescent="0.3">
      <c r="B473" s="15"/>
    </row>
    <row r="474" spans="2:2" ht="15.75" customHeight="1" x14ac:dyDescent="0.3">
      <c r="B474" s="15"/>
    </row>
    <row r="475" spans="2:2" ht="15.75" customHeight="1" x14ac:dyDescent="0.3">
      <c r="B475" s="15"/>
    </row>
    <row r="476" spans="2:2" ht="15.75" customHeight="1" x14ac:dyDescent="0.3">
      <c r="B476" s="15"/>
    </row>
    <row r="477" spans="2:2" ht="15.75" customHeight="1" x14ac:dyDescent="0.3">
      <c r="B477" s="15"/>
    </row>
    <row r="478" spans="2:2" ht="15.75" customHeight="1" x14ac:dyDescent="0.3">
      <c r="B478" s="15"/>
    </row>
    <row r="479" spans="2:2" ht="15.75" customHeight="1" x14ac:dyDescent="0.3">
      <c r="B479" s="15"/>
    </row>
    <row r="480" spans="2:2" ht="15.75" customHeight="1" x14ac:dyDescent="0.3">
      <c r="B480" s="15"/>
    </row>
    <row r="481" spans="2:2" ht="15.75" customHeight="1" x14ac:dyDescent="0.3">
      <c r="B481" s="15"/>
    </row>
    <row r="482" spans="2:2" ht="15.75" customHeight="1" x14ac:dyDescent="0.3">
      <c r="B482" s="15"/>
    </row>
    <row r="483" spans="2:2" ht="15.75" customHeight="1" x14ac:dyDescent="0.3">
      <c r="B483" s="15"/>
    </row>
    <row r="484" spans="2:2" ht="15.75" customHeight="1" x14ac:dyDescent="0.3">
      <c r="B484" s="15"/>
    </row>
    <row r="485" spans="2:2" ht="15.75" customHeight="1" x14ac:dyDescent="0.3">
      <c r="B485" s="15"/>
    </row>
    <row r="486" spans="2:2" ht="15.75" customHeight="1" x14ac:dyDescent="0.3">
      <c r="B486" s="15"/>
    </row>
    <row r="487" spans="2:2" ht="15.75" customHeight="1" x14ac:dyDescent="0.3">
      <c r="B487" s="15"/>
    </row>
    <row r="488" spans="2:2" ht="15.75" customHeight="1" x14ac:dyDescent="0.3">
      <c r="B488" s="15"/>
    </row>
    <row r="489" spans="2:2" ht="15.75" customHeight="1" x14ac:dyDescent="0.3">
      <c r="B489" s="15"/>
    </row>
    <row r="490" spans="2:2" ht="15.75" customHeight="1" x14ac:dyDescent="0.3">
      <c r="B490" s="15"/>
    </row>
    <row r="491" spans="2:2" ht="15.75" customHeight="1" x14ac:dyDescent="0.3">
      <c r="B491" s="15"/>
    </row>
    <row r="492" spans="2:2" ht="15.75" customHeight="1" x14ac:dyDescent="0.3">
      <c r="B492" s="15"/>
    </row>
    <row r="493" spans="2:2" ht="15.75" customHeight="1" x14ac:dyDescent="0.3">
      <c r="B493" s="15"/>
    </row>
    <row r="494" spans="2:2" ht="15.75" customHeight="1" x14ac:dyDescent="0.3">
      <c r="B494" s="15"/>
    </row>
    <row r="495" spans="2:2" ht="15.75" customHeight="1" x14ac:dyDescent="0.3">
      <c r="B495" s="15"/>
    </row>
    <row r="496" spans="2:2" ht="15.75" customHeight="1" x14ac:dyDescent="0.3">
      <c r="B496" s="15"/>
    </row>
    <row r="497" spans="2:2" ht="15.75" customHeight="1" x14ac:dyDescent="0.3">
      <c r="B497" s="15"/>
    </row>
    <row r="498" spans="2:2" ht="15.75" customHeight="1" x14ac:dyDescent="0.3">
      <c r="B498" s="15"/>
    </row>
    <row r="499" spans="2:2" ht="15.75" customHeight="1" x14ac:dyDescent="0.3">
      <c r="B499" s="15"/>
    </row>
    <row r="500" spans="2:2" ht="15.75" customHeight="1" x14ac:dyDescent="0.3">
      <c r="B500" s="15"/>
    </row>
    <row r="501" spans="2:2" ht="15.75" customHeight="1" x14ac:dyDescent="0.3">
      <c r="B501" s="15"/>
    </row>
    <row r="502" spans="2:2" ht="15.75" customHeight="1" x14ac:dyDescent="0.3">
      <c r="B502" s="15"/>
    </row>
    <row r="503" spans="2:2" ht="15.75" customHeight="1" x14ac:dyDescent="0.3">
      <c r="B503" s="15"/>
    </row>
    <row r="504" spans="2:2" ht="15.75" customHeight="1" x14ac:dyDescent="0.3">
      <c r="B504" s="15"/>
    </row>
    <row r="505" spans="2:2" ht="15.75" customHeight="1" x14ac:dyDescent="0.3">
      <c r="B505" s="15"/>
    </row>
    <row r="506" spans="2:2" ht="15.75" customHeight="1" x14ac:dyDescent="0.3">
      <c r="B506" s="15"/>
    </row>
    <row r="507" spans="2:2" ht="15.75" customHeight="1" x14ac:dyDescent="0.3">
      <c r="B507" s="15"/>
    </row>
    <row r="508" spans="2:2" ht="15.75" customHeight="1" x14ac:dyDescent="0.3">
      <c r="B508" s="15"/>
    </row>
    <row r="509" spans="2:2" ht="15.75" customHeight="1" x14ac:dyDescent="0.3">
      <c r="B509" s="15"/>
    </row>
    <row r="510" spans="2:2" ht="15.75" customHeight="1" x14ac:dyDescent="0.3">
      <c r="B510" s="15"/>
    </row>
    <row r="511" spans="2:2" ht="15.75" customHeight="1" x14ac:dyDescent="0.3">
      <c r="B511" s="15"/>
    </row>
    <row r="512" spans="2:2" ht="15.75" customHeight="1" x14ac:dyDescent="0.3">
      <c r="B512" s="15"/>
    </row>
    <row r="513" spans="2:2" ht="15.75" customHeight="1" x14ac:dyDescent="0.3">
      <c r="B513" s="15"/>
    </row>
    <row r="514" spans="2:2" ht="15.75" customHeight="1" x14ac:dyDescent="0.3">
      <c r="B514" s="15"/>
    </row>
    <row r="515" spans="2:2" ht="15.75" customHeight="1" x14ac:dyDescent="0.3">
      <c r="B515" s="15"/>
    </row>
    <row r="516" spans="2:2" ht="15.75" customHeight="1" x14ac:dyDescent="0.3">
      <c r="B516" s="15"/>
    </row>
    <row r="517" spans="2:2" ht="15.75" customHeight="1" x14ac:dyDescent="0.3">
      <c r="B517" s="15"/>
    </row>
    <row r="518" spans="2:2" ht="15.75" customHeight="1" x14ac:dyDescent="0.3">
      <c r="B518" s="15"/>
    </row>
    <row r="519" spans="2:2" ht="15.75" customHeight="1" x14ac:dyDescent="0.3">
      <c r="B519" s="15"/>
    </row>
    <row r="520" spans="2:2" ht="15.75" customHeight="1" x14ac:dyDescent="0.3">
      <c r="B520" s="15"/>
    </row>
    <row r="521" spans="2:2" ht="15.75" customHeight="1" x14ac:dyDescent="0.3">
      <c r="B521" s="15"/>
    </row>
    <row r="522" spans="2:2" ht="15.75" customHeight="1" x14ac:dyDescent="0.3">
      <c r="B522" s="15"/>
    </row>
    <row r="523" spans="2:2" ht="15.75" customHeight="1" x14ac:dyDescent="0.3">
      <c r="B523" s="15"/>
    </row>
    <row r="524" spans="2:2" ht="15.75" customHeight="1" x14ac:dyDescent="0.3">
      <c r="B524" s="15"/>
    </row>
    <row r="525" spans="2:2" ht="15.75" customHeight="1" x14ac:dyDescent="0.3">
      <c r="B525" s="15"/>
    </row>
    <row r="526" spans="2:2" ht="15.75" customHeight="1" x14ac:dyDescent="0.3">
      <c r="B526" s="15"/>
    </row>
    <row r="527" spans="2:2" ht="15.75" customHeight="1" x14ac:dyDescent="0.3">
      <c r="B527" s="15"/>
    </row>
    <row r="528" spans="2:2" ht="15.75" customHeight="1" x14ac:dyDescent="0.3">
      <c r="B528" s="15"/>
    </row>
    <row r="529" spans="2:2" ht="15.75" customHeight="1" x14ac:dyDescent="0.3">
      <c r="B529" s="15"/>
    </row>
    <row r="530" spans="2:2" ht="15.75" customHeight="1" x14ac:dyDescent="0.3">
      <c r="B530" s="15"/>
    </row>
    <row r="531" spans="2:2" ht="15.75" customHeight="1" x14ac:dyDescent="0.3">
      <c r="B531" s="15"/>
    </row>
    <row r="532" spans="2:2" ht="15.75" customHeight="1" x14ac:dyDescent="0.3">
      <c r="B532" s="15"/>
    </row>
    <row r="533" spans="2:2" ht="15.75" customHeight="1" x14ac:dyDescent="0.3">
      <c r="B533" s="15"/>
    </row>
    <row r="534" spans="2:2" ht="15.75" customHeight="1" x14ac:dyDescent="0.3">
      <c r="B534" s="15"/>
    </row>
    <row r="535" spans="2:2" ht="15.75" customHeight="1" x14ac:dyDescent="0.3">
      <c r="B535" s="15"/>
    </row>
    <row r="536" spans="2:2" ht="15.75" customHeight="1" x14ac:dyDescent="0.3">
      <c r="B536" s="15"/>
    </row>
    <row r="537" spans="2:2" ht="15.75" customHeight="1" x14ac:dyDescent="0.3">
      <c r="B537" s="15"/>
    </row>
    <row r="538" spans="2:2" ht="15.75" customHeight="1" x14ac:dyDescent="0.3">
      <c r="B538" s="15"/>
    </row>
    <row r="539" spans="2:2" ht="15.75" customHeight="1" x14ac:dyDescent="0.3">
      <c r="B539" s="15"/>
    </row>
    <row r="540" spans="2:2" ht="15.75" customHeight="1" x14ac:dyDescent="0.3">
      <c r="B540" s="15"/>
    </row>
    <row r="541" spans="2:2" ht="15.75" customHeight="1" x14ac:dyDescent="0.3">
      <c r="B541" s="15"/>
    </row>
    <row r="542" spans="2:2" ht="15.75" customHeight="1" x14ac:dyDescent="0.3">
      <c r="B542" s="15"/>
    </row>
    <row r="543" spans="2:2" ht="15.75" customHeight="1" x14ac:dyDescent="0.3">
      <c r="B543" s="15"/>
    </row>
    <row r="544" spans="2:2" ht="15.75" customHeight="1" x14ac:dyDescent="0.3">
      <c r="B544" s="15"/>
    </row>
    <row r="545" spans="2:2" ht="15.75" customHeight="1" x14ac:dyDescent="0.3">
      <c r="B545" s="15"/>
    </row>
    <row r="546" spans="2:2" ht="15.75" customHeight="1" x14ac:dyDescent="0.3">
      <c r="B546" s="15"/>
    </row>
    <row r="547" spans="2:2" ht="15.75" customHeight="1" x14ac:dyDescent="0.3">
      <c r="B547" s="15"/>
    </row>
    <row r="548" spans="2:2" ht="15.75" customHeight="1" x14ac:dyDescent="0.3">
      <c r="B548" s="15"/>
    </row>
    <row r="549" spans="2:2" ht="15.75" customHeight="1" x14ac:dyDescent="0.3">
      <c r="B549" s="15"/>
    </row>
    <row r="550" spans="2:2" ht="15.75" customHeight="1" x14ac:dyDescent="0.3">
      <c r="B550" s="15"/>
    </row>
    <row r="551" spans="2:2" ht="15.75" customHeight="1" x14ac:dyDescent="0.3">
      <c r="B551" s="15"/>
    </row>
    <row r="552" spans="2:2" ht="15.75" customHeight="1" x14ac:dyDescent="0.3">
      <c r="B552" s="15"/>
    </row>
    <row r="553" spans="2:2" ht="15.75" customHeight="1" x14ac:dyDescent="0.3">
      <c r="B553" s="15"/>
    </row>
    <row r="554" spans="2:2" ht="15.75" customHeight="1" x14ac:dyDescent="0.3">
      <c r="B554" s="15"/>
    </row>
    <row r="555" spans="2:2" ht="15.75" customHeight="1" x14ac:dyDescent="0.3">
      <c r="B555" s="15"/>
    </row>
    <row r="556" spans="2:2" ht="15.75" customHeight="1" x14ac:dyDescent="0.3">
      <c r="B556" s="15"/>
    </row>
    <row r="557" spans="2:2" ht="15.75" customHeight="1" x14ac:dyDescent="0.3">
      <c r="B557" s="15"/>
    </row>
    <row r="558" spans="2:2" ht="15.75" customHeight="1" x14ac:dyDescent="0.3">
      <c r="B558" s="15"/>
    </row>
    <row r="559" spans="2:2" ht="15.75" customHeight="1" x14ac:dyDescent="0.3">
      <c r="B559" s="15"/>
    </row>
    <row r="560" spans="2:2" ht="15.75" customHeight="1" x14ac:dyDescent="0.3">
      <c r="B560" s="15"/>
    </row>
    <row r="561" spans="2:2" ht="15.75" customHeight="1" x14ac:dyDescent="0.3">
      <c r="B561" s="15"/>
    </row>
    <row r="562" spans="2:2" ht="15.75" customHeight="1" x14ac:dyDescent="0.3">
      <c r="B562" s="15"/>
    </row>
    <row r="563" spans="2:2" ht="15.75" customHeight="1" x14ac:dyDescent="0.3">
      <c r="B563" s="15"/>
    </row>
    <row r="564" spans="2:2" ht="15.75" customHeight="1" x14ac:dyDescent="0.3">
      <c r="B564" s="15"/>
    </row>
    <row r="565" spans="2:2" ht="15.75" customHeight="1" x14ac:dyDescent="0.3">
      <c r="B565" s="15"/>
    </row>
    <row r="566" spans="2:2" ht="15.75" customHeight="1" x14ac:dyDescent="0.3">
      <c r="B566" s="15"/>
    </row>
    <row r="567" spans="2:2" ht="15.75" customHeight="1" x14ac:dyDescent="0.3">
      <c r="B567" s="15"/>
    </row>
    <row r="568" spans="2:2" ht="15.75" customHeight="1" x14ac:dyDescent="0.3">
      <c r="B568" s="15"/>
    </row>
    <row r="569" spans="2:2" ht="15.75" customHeight="1" x14ac:dyDescent="0.3">
      <c r="B569" s="15"/>
    </row>
    <row r="570" spans="2:2" ht="15.75" customHeight="1" x14ac:dyDescent="0.3">
      <c r="B570" s="15"/>
    </row>
    <row r="571" spans="2:2" ht="15.75" customHeight="1" x14ac:dyDescent="0.3">
      <c r="B571" s="15"/>
    </row>
    <row r="572" spans="2:2" ht="15.75" customHeight="1" x14ac:dyDescent="0.3">
      <c r="B572" s="15"/>
    </row>
    <row r="573" spans="2:2" ht="15.75" customHeight="1" x14ac:dyDescent="0.3">
      <c r="B573" s="15"/>
    </row>
    <row r="574" spans="2:2" ht="15.75" customHeight="1" x14ac:dyDescent="0.3">
      <c r="B574" s="15"/>
    </row>
    <row r="575" spans="2:2" ht="15.75" customHeight="1" x14ac:dyDescent="0.3">
      <c r="B575" s="15"/>
    </row>
    <row r="576" spans="2:2" ht="15.75" customHeight="1" x14ac:dyDescent="0.3">
      <c r="B576" s="15"/>
    </row>
    <row r="577" spans="2:2" ht="15.75" customHeight="1" x14ac:dyDescent="0.3">
      <c r="B577" s="15"/>
    </row>
    <row r="578" spans="2:2" ht="15.75" customHeight="1" x14ac:dyDescent="0.3">
      <c r="B578" s="15"/>
    </row>
    <row r="579" spans="2:2" ht="15.75" customHeight="1" x14ac:dyDescent="0.3">
      <c r="B579" s="15"/>
    </row>
    <row r="580" spans="2:2" ht="15.75" customHeight="1" x14ac:dyDescent="0.3">
      <c r="B580" s="15"/>
    </row>
    <row r="581" spans="2:2" ht="15.75" customHeight="1" x14ac:dyDescent="0.3">
      <c r="B581" s="15"/>
    </row>
    <row r="582" spans="2:2" ht="15.75" customHeight="1" x14ac:dyDescent="0.3">
      <c r="B582" s="15"/>
    </row>
    <row r="583" spans="2:2" ht="15.75" customHeight="1" x14ac:dyDescent="0.3">
      <c r="B583" s="15"/>
    </row>
    <row r="584" spans="2:2" ht="15.75" customHeight="1" x14ac:dyDescent="0.3">
      <c r="B584" s="15"/>
    </row>
    <row r="585" spans="2:2" ht="15.75" customHeight="1" x14ac:dyDescent="0.3">
      <c r="B585" s="15"/>
    </row>
    <row r="586" spans="2:2" ht="15.75" customHeight="1" x14ac:dyDescent="0.3">
      <c r="B586" s="15"/>
    </row>
    <row r="587" spans="2:2" ht="15.75" customHeight="1" x14ac:dyDescent="0.3">
      <c r="B587" s="15"/>
    </row>
    <row r="588" spans="2:2" ht="15.75" customHeight="1" x14ac:dyDescent="0.3">
      <c r="B588" s="15"/>
    </row>
    <row r="589" spans="2:2" ht="15.75" customHeight="1" x14ac:dyDescent="0.3">
      <c r="B589" s="15"/>
    </row>
    <row r="590" spans="2:2" ht="15.75" customHeight="1" x14ac:dyDescent="0.3">
      <c r="B590" s="15"/>
    </row>
    <row r="591" spans="2:2" ht="15.75" customHeight="1" x14ac:dyDescent="0.3">
      <c r="B591" s="15"/>
    </row>
    <row r="592" spans="2:2" ht="15.75" customHeight="1" x14ac:dyDescent="0.3">
      <c r="B592" s="15"/>
    </row>
    <row r="593" spans="2:2" ht="15.75" customHeight="1" x14ac:dyDescent="0.3">
      <c r="B593" s="15"/>
    </row>
    <row r="594" spans="2:2" ht="15.75" customHeight="1" x14ac:dyDescent="0.3">
      <c r="B594" s="15"/>
    </row>
    <row r="595" spans="2:2" ht="15.75" customHeight="1" x14ac:dyDescent="0.3">
      <c r="B595" s="15"/>
    </row>
    <row r="596" spans="2:2" ht="15.75" customHeight="1" x14ac:dyDescent="0.3">
      <c r="B596" s="15"/>
    </row>
    <row r="597" spans="2:2" ht="15.75" customHeight="1" x14ac:dyDescent="0.3">
      <c r="B597" s="15"/>
    </row>
    <row r="598" spans="2:2" ht="15.75" customHeight="1" x14ac:dyDescent="0.3">
      <c r="B598" s="15"/>
    </row>
    <row r="599" spans="2:2" ht="15.75" customHeight="1" x14ac:dyDescent="0.3">
      <c r="B599" s="15"/>
    </row>
    <row r="600" spans="2:2" ht="15.75" customHeight="1" x14ac:dyDescent="0.3">
      <c r="B600" s="15"/>
    </row>
    <row r="601" spans="2:2" ht="15.75" customHeight="1" x14ac:dyDescent="0.3">
      <c r="B601" s="15"/>
    </row>
    <row r="602" spans="2:2" ht="15.75" customHeight="1" x14ac:dyDescent="0.3">
      <c r="B602" s="15"/>
    </row>
    <row r="603" spans="2:2" ht="15.75" customHeight="1" x14ac:dyDescent="0.3">
      <c r="B603" s="15"/>
    </row>
    <row r="604" spans="2:2" ht="15.75" customHeight="1" x14ac:dyDescent="0.3">
      <c r="B604" s="15"/>
    </row>
    <row r="605" spans="2:2" ht="15.75" customHeight="1" x14ac:dyDescent="0.3">
      <c r="B605" s="15"/>
    </row>
    <row r="606" spans="2:2" ht="15.75" customHeight="1" x14ac:dyDescent="0.3">
      <c r="B606" s="15"/>
    </row>
    <row r="607" spans="2:2" ht="15.75" customHeight="1" x14ac:dyDescent="0.3">
      <c r="B607" s="15"/>
    </row>
    <row r="608" spans="2:2" ht="15.75" customHeight="1" x14ac:dyDescent="0.3">
      <c r="B608" s="15"/>
    </row>
    <row r="609" spans="2:2" ht="15.75" customHeight="1" x14ac:dyDescent="0.3">
      <c r="B609" s="15"/>
    </row>
    <row r="610" spans="2:2" ht="15.75" customHeight="1" x14ac:dyDescent="0.3">
      <c r="B610" s="15"/>
    </row>
    <row r="611" spans="2:2" ht="15.75" customHeight="1" x14ac:dyDescent="0.3">
      <c r="B611" s="15"/>
    </row>
    <row r="612" spans="2:2" ht="15.75" customHeight="1" x14ac:dyDescent="0.3">
      <c r="B612" s="15"/>
    </row>
    <row r="613" spans="2:2" ht="15.75" customHeight="1" x14ac:dyDescent="0.3">
      <c r="B613" s="15"/>
    </row>
    <row r="614" spans="2:2" ht="15.75" customHeight="1" x14ac:dyDescent="0.3">
      <c r="B614" s="15"/>
    </row>
    <row r="615" spans="2:2" ht="15.75" customHeight="1" x14ac:dyDescent="0.3">
      <c r="B615" s="15"/>
    </row>
    <row r="616" spans="2:2" ht="15.75" customHeight="1" x14ac:dyDescent="0.3">
      <c r="B616" s="15"/>
    </row>
    <row r="617" spans="2:2" ht="15.75" customHeight="1" x14ac:dyDescent="0.3">
      <c r="B617" s="15"/>
    </row>
    <row r="618" spans="2:2" ht="15.75" customHeight="1" x14ac:dyDescent="0.3">
      <c r="B618" s="15"/>
    </row>
    <row r="619" spans="2:2" ht="15.75" customHeight="1" x14ac:dyDescent="0.3">
      <c r="B619" s="15"/>
    </row>
    <row r="620" spans="2:2" ht="15.75" customHeight="1" x14ac:dyDescent="0.3">
      <c r="B620" s="15"/>
    </row>
    <row r="621" spans="2:2" ht="15.75" customHeight="1" x14ac:dyDescent="0.3">
      <c r="B621" s="15"/>
    </row>
    <row r="622" spans="2:2" ht="15.75" customHeight="1" x14ac:dyDescent="0.3">
      <c r="B622" s="15"/>
    </row>
    <row r="623" spans="2:2" ht="15.75" customHeight="1" x14ac:dyDescent="0.3">
      <c r="B623" s="15"/>
    </row>
    <row r="624" spans="2:2" ht="15.75" customHeight="1" x14ac:dyDescent="0.3">
      <c r="B624" s="15"/>
    </row>
    <row r="625" spans="2:2" ht="15.75" customHeight="1" x14ac:dyDescent="0.3">
      <c r="B625" s="15"/>
    </row>
    <row r="626" spans="2:2" ht="15.75" customHeight="1" x14ac:dyDescent="0.3">
      <c r="B626" s="15"/>
    </row>
    <row r="627" spans="2:2" ht="15.75" customHeight="1" x14ac:dyDescent="0.3">
      <c r="B627" s="15"/>
    </row>
    <row r="628" spans="2:2" ht="15.75" customHeight="1" x14ac:dyDescent="0.3">
      <c r="B628" s="15"/>
    </row>
    <row r="629" spans="2:2" ht="15.75" customHeight="1" x14ac:dyDescent="0.3">
      <c r="B629" s="15"/>
    </row>
    <row r="630" spans="2:2" ht="15.75" customHeight="1" x14ac:dyDescent="0.3">
      <c r="B630" s="15"/>
    </row>
    <row r="631" spans="2:2" ht="15.75" customHeight="1" x14ac:dyDescent="0.3">
      <c r="B631" s="15"/>
    </row>
    <row r="632" spans="2:2" ht="15.75" customHeight="1" x14ac:dyDescent="0.3">
      <c r="B632" s="15"/>
    </row>
    <row r="633" spans="2:2" ht="15.75" customHeight="1" x14ac:dyDescent="0.3">
      <c r="B633" s="15"/>
    </row>
    <row r="634" spans="2:2" ht="15.75" customHeight="1" x14ac:dyDescent="0.3">
      <c r="B634" s="15"/>
    </row>
    <row r="635" spans="2:2" ht="15.75" customHeight="1" x14ac:dyDescent="0.3">
      <c r="B635" s="15"/>
    </row>
    <row r="636" spans="2:2" ht="15.75" customHeight="1" x14ac:dyDescent="0.3">
      <c r="B636" s="15"/>
    </row>
    <row r="637" spans="2:2" ht="15.75" customHeight="1" x14ac:dyDescent="0.3">
      <c r="B637" s="15"/>
    </row>
    <row r="638" spans="2:2" ht="15.75" customHeight="1" x14ac:dyDescent="0.3">
      <c r="B638" s="15"/>
    </row>
    <row r="639" spans="2:2" ht="15.75" customHeight="1" x14ac:dyDescent="0.3">
      <c r="B639" s="15"/>
    </row>
    <row r="640" spans="2:2" ht="15.75" customHeight="1" x14ac:dyDescent="0.3">
      <c r="B640" s="15"/>
    </row>
    <row r="641" spans="2:2" ht="15.75" customHeight="1" x14ac:dyDescent="0.3">
      <c r="B641" s="15"/>
    </row>
    <row r="642" spans="2:2" ht="15.75" customHeight="1" x14ac:dyDescent="0.3">
      <c r="B642" s="15"/>
    </row>
    <row r="643" spans="2:2" ht="15.75" customHeight="1" x14ac:dyDescent="0.3">
      <c r="B643" s="15"/>
    </row>
    <row r="644" spans="2:2" ht="15.75" customHeight="1" x14ac:dyDescent="0.3">
      <c r="B644" s="15"/>
    </row>
    <row r="645" spans="2:2" ht="15.75" customHeight="1" x14ac:dyDescent="0.3">
      <c r="B645" s="15"/>
    </row>
    <row r="646" spans="2:2" ht="15.75" customHeight="1" x14ac:dyDescent="0.3">
      <c r="B646" s="15"/>
    </row>
    <row r="647" spans="2:2" ht="15.75" customHeight="1" x14ac:dyDescent="0.3">
      <c r="B647" s="15"/>
    </row>
    <row r="648" spans="2:2" ht="15.75" customHeight="1" x14ac:dyDescent="0.3">
      <c r="B648" s="15"/>
    </row>
    <row r="649" spans="2:2" ht="15.75" customHeight="1" x14ac:dyDescent="0.3">
      <c r="B649" s="15"/>
    </row>
    <row r="650" spans="2:2" ht="15.75" customHeight="1" x14ac:dyDescent="0.3">
      <c r="B650" s="15"/>
    </row>
    <row r="651" spans="2:2" ht="15.75" customHeight="1" x14ac:dyDescent="0.3">
      <c r="B651" s="15"/>
    </row>
    <row r="652" spans="2:2" ht="15.75" customHeight="1" x14ac:dyDescent="0.3">
      <c r="B652" s="15"/>
    </row>
    <row r="653" spans="2:2" ht="15.75" customHeight="1" x14ac:dyDescent="0.3">
      <c r="B653" s="15"/>
    </row>
    <row r="654" spans="2:2" ht="15.75" customHeight="1" x14ac:dyDescent="0.3">
      <c r="B654" s="15"/>
    </row>
    <row r="655" spans="2:2" ht="15.75" customHeight="1" x14ac:dyDescent="0.3">
      <c r="B655" s="15"/>
    </row>
    <row r="656" spans="2:2" ht="15.75" customHeight="1" x14ac:dyDescent="0.3">
      <c r="B656" s="15"/>
    </row>
    <row r="657" spans="2:2" ht="15.75" customHeight="1" x14ac:dyDescent="0.3">
      <c r="B657" s="15"/>
    </row>
    <row r="658" spans="2:2" ht="15.75" customHeight="1" x14ac:dyDescent="0.3">
      <c r="B658" s="15"/>
    </row>
    <row r="659" spans="2:2" ht="15.75" customHeight="1" x14ac:dyDescent="0.3">
      <c r="B659" s="15"/>
    </row>
    <row r="660" spans="2:2" ht="15.75" customHeight="1" x14ac:dyDescent="0.3">
      <c r="B660" s="15"/>
    </row>
    <row r="661" spans="2:2" ht="15.75" customHeight="1" x14ac:dyDescent="0.3">
      <c r="B661" s="15"/>
    </row>
    <row r="662" spans="2:2" ht="15.75" customHeight="1" x14ac:dyDescent="0.3">
      <c r="B662" s="15"/>
    </row>
    <row r="663" spans="2:2" ht="15.75" customHeight="1" x14ac:dyDescent="0.3">
      <c r="B663" s="15"/>
    </row>
    <row r="664" spans="2:2" ht="15.75" customHeight="1" x14ac:dyDescent="0.3">
      <c r="B664" s="15"/>
    </row>
    <row r="665" spans="2:2" ht="15.75" customHeight="1" x14ac:dyDescent="0.3">
      <c r="B665" s="15"/>
    </row>
    <row r="666" spans="2:2" ht="15.75" customHeight="1" x14ac:dyDescent="0.3">
      <c r="B666" s="15"/>
    </row>
    <row r="667" spans="2:2" ht="15.75" customHeight="1" x14ac:dyDescent="0.3">
      <c r="B667" s="15"/>
    </row>
    <row r="668" spans="2:2" ht="15.75" customHeight="1" x14ac:dyDescent="0.3">
      <c r="B668" s="15"/>
    </row>
    <row r="669" spans="2:2" ht="15.75" customHeight="1" x14ac:dyDescent="0.3">
      <c r="B669" s="15"/>
    </row>
    <row r="670" spans="2:2" ht="15.75" customHeight="1" x14ac:dyDescent="0.3">
      <c r="B670" s="15"/>
    </row>
    <row r="671" spans="2:2" ht="15.75" customHeight="1" x14ac:dyDescent="0.3">
      <c r="B671" s="15"/>
    </row>
    <row r="672" spans="2:2" ht="15.75" customHeight="1" x14ac:dyDescent="0.3">
      <c r="B672" s="15"/>
    </row>
    <row r="673" spans="2:2" ht="15.75" customHeight="1" x14ac:dyDescent="0.3">
      <c r="B673" s="15"/>
    </row>
    <row r="674" spans="2:2" ht="15.75" customHeight="1" x14ac:dyDescent="0.3">
      <c r="B674" s="15"/>
    </row>
    <row r="675" spans="2:2" ht="15.75" customHeight="1" x14ac:dyDescent="0.3">
      <c r="B675" s="15"/>
    </row>
    <row r="676" spans="2:2" ht="15.75" customHeight="1" x14ac:dyDescent="0.3">
      <c r="B676" s="15"/>
    </row>
    <row r="677" spans="2:2" ht="15.75" customHeight="1" x14ac:dyDescent="0.3">
      <c r="B677" s="15"/>
    </row>
    <row r="678" spans="2:2" ht="15.75" customHeight="1" x14ac:dyDescent="0.3">
      <c r="B678" s="15"/>
    </row>
    <row r="679" spans="2:2" ht="15.75" customHeight="1" x14ac:dyDescent="0.3">
      <c r="B679" s="15"/>
    </row>
    <row r="680" spans="2:2" ht="15.75" customHeight="1" x14ac:dyDescent="0.3">
      <c r="B680" s="15"/>
    </row>
    <row r="681" spans="2:2" ht="15.75" customHeight="1" x14ac:dyDescent="0.3">
      <c r="B681" s="15"/>
    </row>
    <row r="682" spans="2:2" ht="15.75" customHeight="1" x14ac:dyDescent="0.3">
      <c r="B682" s="15"/>
    </row>
    <row r="683" spans="2:2" ht="15.75" customHeight="1" x14ac:dyDescent="0.3">
      <c r="B683" s="15"/>
    </row>
    <row r="684" spans="2:2" ht="15.75" customHeight="1" x14ac:dyDescent="0.3">
      <c r="B684" s="15"/>
    </row>
    <row r="685" spans="2:2" ht="15.75" customHeight="1" x14ac:dyDescent="0.3">
      <c r="B685" s="15"/>
    </row>
    <row r="686" spans="2:2" ht="15.75" customHeight="1" x14ac:dyDescent="0.3">
      <c r="B686" s="15"/>
    </row>
    <row r="687" spans="2:2" ht="15.75" customHeight="1" x14ac:dyDescent="0.3">
      <c r="B687" s="15"/>
    </row>
    <row r="688" spans="2:2" ht="15.75" customHeight="1" x14ac:dyDescent="0.3">
      <c r="B688" s="15"/>
    </row>
    <row r="689" spans="2:2" ht="15.75" customHeight="1" x14ac:dyDescent="0.3">
      <c r="B689" s="15"/>
    </row>
    <row r="690" spans="2:2" ht="15.75" customHeight="1" x14ac:dyDescent="0.3">
      <c r="B690" s="15"/>
    </row>
    <row r="691" spans="2:2" ht="15.75" customHeight="1" x14ac:dyDescent="0.3">
      <c r="B691" s="15"/>
    </row>
    <row r="692" spans="2:2" ht="15.75" customHeight="1" x14ac:dyDescent="0.3">
      <c r="B692" s="15"/>
    </row>
    <row r="693" spans="2:2" ht="15.75" customHeight="1" x14ac:dyDescent="0.3">
      <c r="B693" s="15"/>
    </row>
    <row r="694" spans="2:2" ht="15.75" customHeight="1" x14ac:dyDescent="0.3">
      <c r="B694" s="15"/>
    </row>
    <row r="695" spans="2:2" ht="15.75" customHeight="1" x14ac:dyDescent="0.3">
      <c r="B695" s="15"/>
    </row>
    <row r="696" spans="2:2" ht="15.75" customHeight="1" x14ac:dyDescent="0.3">
      <c r="B696" s="15"/>
    </row>
    <row r="697" spans="2:2" ht="15.75" customHeight="1" x14ac:dyDescent="0.3">
      <c r="B697" s="15"/>
    </row>
    <row r="698" spans="2:2" ht="15.75" customHeight="1" x14ac:dyDescent="0.3">
      <c r="B698" s="15"/>
    </row>
    <row r="699" spans="2:2" ht="15.75" customHeight="1" x14ac:dyDescent="0.3">
      <c r="B699" s="15"/>
    </row>
    <row r="700" spans="2:2" ht="15.75" customHeight="1" x14ac:dyDescent="0.3">
      <c r="B700" s="15"/>
    </row>
    <row r="701" spans="2:2" ht="15.75" customHeight="1" x14ac:dyDescent="0.3">
      <c r="B701" s="15"/>
    </row>
    <row r="702" spans="2:2" ht="15.75" customHeight="1" x14ac:dyDescent="0.3">
      <c r="B702" s="15"/>
    </row>
    <row r="703" spans="2:2" ht="15.75" customHeight="1" x14ac:dyDescent="0.3">
      <c r="B703" s="15"/>
    </row>
    <row r="704" spans="2:2" ht="15.75" customHeight="1" x14ac:dyDescent="0.3">
      <c r="B704" s="15"/>
    </row>
    <row r="705" spans="2:2" ht="15.75" customHeight="1" x14ac:dyDescent="0.3">
      <c r="B705" s="15"/>
    </row>
    <row r="706" spans="2:2" ht="15.75" customHeight="1" x14ac:dyDescent="0.3">
      <c r="B706" s="15"/>
    </row>
    <row r="707" spans="2:2" ht="15.75" customHeight="1" x14ac:dyDescent="0.3">
      <c r="B707" s="15"/>
    </row>
    <row r="708" spans="2:2" ht="15.75" customHeight="1" x14ac:dyDescent="0.3">
      <c r="B708" s="15"/>
    </row>
    <row r="709" spans="2:2" ht="15.75" customHeight="1" x14ac:dyDescent="0.3">
      <c r="B709" s="15"/>
    </row>
    <row r="710" spans="2:2" ht="15.75" customHeight="1" x14ac:dyDescent="0.3">
      <c r="B710" s="15"/>
    </row>
    <row r="711" spans="2:2" ht="15.75" customHeight="1" x14ac:dyDescent="0.3">
      <c r="B711" s="15"/>
    </row>
    <row r="712" spans="2:2" ht="15.75" customHeight="1" x14ac:dyDescent="0.3">
      <c r="B712" s="15"/>
    </row>
    <row r="713" spans="2:2" ht="15.75" customHeight="1" x14ac:dyDescent="0.3">
      <c r="B713" s="15"/>
    </row>
    <row r="714" spans="2:2" ht="15.75" customHeight="1" x14ac:dyDescent="0.3">
      <c r="B714" s="15"/>
    </row>
    <row r="715" spans="2:2" ht="15.75" customHeight="1" x14ac:dyDescent="0.3">
      <c r="B715" s="15"/>
    </row>
    <row r="716" spans="2:2" ht="15.75" customHeight="1" x14ac:dyDescent="0.3">
      <c r="B716" s="15"/>
    </row>
    <row r="717" spans="2:2" ht="15.75" customHeight="1" x14ac:dyDescent="0.3">
      <c r="B717" s="15"/>
    </row>
    <row r="718" spans="2:2" ht="15.75" customHeight="1" x14ac:dyDescent="0.3">
      <c r="B718" s="15"/>
    </row>
    <row r="719" spans="2:2" ht="15.75" customHeight="1" x14ac:dyDescent="0.3">
      <c r="B719" s="15"/>
    </row>
    <row r="720" spans="2:2" ht="15.75" customHeight="1" x14ac:dyDescent="0.3">
      <c r="B720" s="15"/>
    </row>
    <row r="721" spans="2:2" ht="15.75" customHeight="1" x14ac:dyDescent="0.3">
      <c r="B721" s="15"/>
    </row>
    <row r="722" spans="2:2" ht="15.75" customHeight="1" x14ac:dyDescent="0.3">
      <c r="B722" s="15"/>
    </row>
    <row r="723" spans="2:2" ht="15.75" customHeight="1" x14ac:dyDescent="0.3">
      <c r="B723" s="15"/>
    </row>
    <row r="724" spans="2:2" ht="15.75" customHeight="1" x14ac:dyDescent="0.3">
      <c r="B724" s="15"/>
    </row>
    <row r="725" spans="2:2" ht="15.75" customHeight="1" x14ac:dyDescent="0.3">
      <c r="B725" s="15"/>
    </row>
    <row r="726" spans="2:2" ht="15.75" customHeight="1" x14ac:dyDescent="0.3">
      <c r="B726" s="15"/>
    </row>
    <row r="727" spans="2:2" ht="15.75" customHeight="1" x14ac:dyDescent="0.3">
      <c r="B727" s="15"/>
    </row>
    <row r="728" spans="2:2" ht="15.75" customHeight="1" x14ac:dyDescent="0.3">
      <c r="B728" s="15"/>
    </row>
    <row r="729" spans="2:2" ht="15.75" customHeight="1" x14ac:dyDescent="0.3">
      <c r="B729" s="15"/>
    </row>
    <row r="730" spans="2:2" ht="15.75" customHeight="1" x14ac:dyDescent="0.3">
      <c r="B730" s="15"/>
    </row>
    <row r="731" spans="2:2" ht="15.75" customHeight="1" x14ac:dyDescent="0.3">
      <c r="B731" s="15"/>
    </row>
    <row r="732" spans="2:2" ht="15.75" customHeight="1" x14ac:dyDescent="0.3">
      <c r="B732" s="15"/>
    </row>
    <row r="733" spans="2:2" ht="15.75" customHeight="1" x14ac:dyDescent="0.3">
      <c r="B733" s="15"/>
    </row>
    <row r="734" spans="2:2" ht="15.75" customHeight="1" x14ac:dyDescent="0.3">
      <c r="B734" s="15"/>
    </row>
    <row r="735" spans="2:2" ht="15.75" customHeight="1" x14ac:dyDescent="0.3">
      <c r="B735" s="15"/>
    </row>
    <row r="736" spans="2:2" ht="15.75" customHeight="1" x14ac:dyDescent="0.3">
      <c r="B736" s="15"/>
    </row>
    <row r="737" spans="2:2" ht="15.75" customHeight="1" x14ac:dyDescent="0.3">
      <c r="B737" s="15"/>
    </row>
    <row r="738" spans="2:2" ht="15.75" customHeight="1" x14ac:dyDescent="0.3">
      <c r="B738" s="15"/>
    </row>
    <row r="739" spans="2:2" ht="15.75" customHeight="1" x14ac:dyDescent="0.3">
      <c r="B739" s="15"/>
    </row>
    <row r="740" spans="2:2" ht="15.75" customHeight="1" x14ac:dyDescent="0.3">
      <c r="B740" s="15"/>
    </row>
    <row r="741" spans="2:2" ht="15.75" customHeight="1" x14ac:dyDescent="0.3">
      <c r="B741" s="15"/>
    </row>
    <row r="742" spans="2:2" ht="15.75" customHeight="1" x14ac:dyDescent="0.3">
      <c r="B742" s="15"/>
    </row>
    <row r="743" spans="2:2" ht="15.75" customHeight="1" x14ac:dyDescent="0.3">
      <c r="B743" s="15"/>
    </row>
    <row r="744" spans="2:2" ht="15.75" customHeight="1" x14ac:dyDescent="0.3">
      <c r="B744" s="15"/>
    </row>
    <row r="745" spans="2:2" ht="15.75" customHeight="1" x14ac:dyDescent="0.3">
      <c r="B745" s="15"/>
    </row>
    <row r="746" spans="2:2" ht="15.75" customHeight="1" x14ac:dyDescent="0.3">
      <c r="B746" s="15"/>
    </row>
    <row r="747" spans="2:2" ht="15.75" customHeight="1" x14ac:dyDescent="0.3">
      <c r="B747" s="15"/>
    </row>
    <row r="748" spans="2:2" ht="15.75" customHeight="1" x14ac:dyDescent="0.3">
      <c r="B748" s="15"/>
    </row>
    <row r="749" spans="2:2" ht="15.75" customHeight="1" x14ac:dyDescent="0.3">
      <c r="B749" s="15"/>
    </row>
    <row r="750" spans="2:2" ht="15.75" customHeight="1" x14ac:dyDescent="0.3">
      <c r="B750" s="15"/>
    </row>
    <row r="751" spans="2:2" ht="15.75" customHeight="1" x14ac:dyDescent="0.3">
      <c r="B751" s="15"/>
    </row>
    <row r="752" spans="2:2" ht="15.75" customHeight="1" x14ac:dyDescent="0.3">
      <c r="B752" s="15"/>
    </row>
    <row r="753" spans="2:2" ht="15.75" customHeight="1" x14ac:dyDescent="0.3">
      <c r="B753" s="15"/>
    </row>
    <row r="754" spans="2:2" ht="15.75" customHeight="1" x14ac:dyDescent="0.3">
      <c r="B754" s="15"/>
    </row>
    <row r="755" spans="2:2" ht="15.75" customHeight="1" x14ac:dyDescent="0.3">
      <c r="B755" s="15"/>
    </row>
    <row r="756" spans="2:2" ht="15.75" customHeight="1" x14ac:dyDescent="0.3">
      <c r="B756" s="15"/>
    </row>
    <row r="757" spans="2:2" ht="15.75" customHeight="1" x14ac:dyDescent="0.3">
      <c r="B757" s="15"/>
    </row>
    <row r="758" spans="2:2" ht="15.75" customHeight="1" x14ac:dyDescent="0.3">
      <c r="B758" s="15"/>
    </row>
    <row r="759" spans="2:2" ht="15.75" customHeight="1" x14ac:dyDescent="0.3">
      <c r="B759" s="15"/>
    </row>
    <row r="760" spans="2:2" ht="15.75" customHeight="1" x14ac:dyDescent="0.3">
      <c r="B760" s="15"/>
    </row>
    <row r="761" spans="2:2" ht="15.75" customHeight="1" x14ac:dyDescent="0.3">
      <c r="B761" s="15"/>
    </row>
    <row r="762" spans="2:2" ht="15.75" customHeight="1" x14ac:dyDescent="0.3">
      <c r="B762" s="15"/>
    </row>
    <row r="763" spans="2:2" ht="15.75" customHeight="1" x14ac:dyDescent="0.3">
      <c r="B763" s="15"/>
    </row>
    <row r="764" spans="2:2" ht="15.75" customHeight="1" x14ac:dyDescent="0.3">
      <c r="B764" s="15"/>
    </row>
    <row r="765" spans="2:2" ht="15.75" customHeight="1" x14ac:dyDescent="0.3">
      <c r="B765" s="15"/>
    </row>
    <row r="766" spans="2:2" ht="15.75" customHeight="1" x14ac:dyDescent="0.3">
      <c r="B766" s="15"/>
    </row>
    <row r="767" spans="2:2" ht="15.75" customHeight="1" x14ac:dyDescent="0.3">
      <c r="B767" s="15"/>
    </row>
    <row r="768" spans="2:2" ht="15.75" customHeight="1" x14ac:dyDescent="0.3">
      <c r="B768" s="15"/>
    </row>
    <row r="769" spans="2:2" ht="15.75" customHeight="1" x14ac:dyDescent="0.3">
      <c r="B769" s="15"/>
    </row>
    <row r="770" spans="2:2" ht="15.75" customHeight="1" x14ac:dyDescent="0.3">
      <c r="B770" s="15"/>
    </row>
    <row r="771" spans="2:2" ht="15.75" customHeight="1" x14ac:dyDescent="0.3">
      <c r="B771" s="15"/>
    </row>
    <row r="772" spans="2:2" ht="15.75" customHeight="1" x14ac:dyDescent="0.3">
      <c r="B772" s="15"/>
    </row>
    <row r="773" spans="2:2" ht="15.75" customHeight="1" x14ac:dyDescent="0.3">
      <c r="B773" s="15"/>
    </row>
    <row r="774" spans="2:2" ht="15.75" customHeight="1" x14ac:dyDescent="0.3">
      <c r="B774" s="15"/>
    </row>
    <row r="775" spans="2:2" ht="15.75" customHeight="1" x14ac:dyDescent="0.3">
      <c r="B775" s="15"/>
    </row>
    <row r="776" spans="2:2" ht="15.75" customHeight="1" x14ac:dyDescent="0.3">
      <c r="B776" s="15"/>
    </row>
    <row r="777" spans="2:2" ht="15.75" customHeight="1" x14ac:dyDescent="0.3">
      <c r="B777" s="15"/>
    </row>
    <row r="778" spans="2:2" ht="15.75" customHeight="1" x14ac:dyDescent="0.3">
      <c r="B778" s="15"/>
    </row>
    <row r="779" spans="2:2" ht="15.75" customHeight="1" x14ac:dyDescent="0.3">
      <c r="B779" s="15"/>
    </row>
    <row r="780" spans="2:2" ht="15.75" customHeight="1" x14ac:dyDescent="0.3">
      <c r="B780" s="15"/>
    </row>
    <row r="781" spans="2:2" ht="15.75" customHeight="1" x14ac:dyDescent="0.3">
      <c r="B781" s="15"/>
    </row>
    <row r="782" spans="2:2" ht="15.75" customHeight="1" x14ac:dyDescent="0.3">
      <c r="B782" s="15"/>
    </row>
    <row r="783" spans="2:2" ht="15.75" customHeight="1" x14ac:dyDescent="0.3">
      <c r="B783" s="15"/>
    </row>
    <row r="784" spans="2:2" ht="15.75" customHeight="1" x14ac:dyDescent="0.3">
      <c r="B784" s="15"/>
    </row>
    <row r="785" spans="2:2" ht="15.75" customHeight="1" x14ac:dyDescent="0.3">
      <c r="B785" s="15"/>
    </row>
    <row r="786" spans="2:2" ht="15.75" customHeight="1" x14ac:dyDescent="0.3">
      <c r="B786" s="15"/>
    </row>
    <row r="787" spans="2:2" ht="15.75" customHeight="1" x14ac:dyDescent="0.3">
      <c r="B787" s="15"/>
    </row>
    <row r="788" spans="2:2" ht="15.75" customHeight="1" x14ac:dyDescent="0.3">
      <c r="B788" s="15"/>
    </row>
    <row r="789" spans="2:2" ht="15.75" customHeight="1" x14ac:dyDescent="0.3">
      <c r="B789" s="15"/>
    </row>
    <row r="790" spans="2:2" ht="15.75" customHeight="1" x14ac:dyDescent="0.3">
      <c r="B790" s="15"/>
    </row>
    <row r="791" spans="2:2" ht="15.75" customHeight="1" x14ac:dyDescent="0.3">
      <c r="B791" s="15"/>
    </row>
    <row r="792" spans="2:2" ht="15.75" customHeight="1" x14ac:dyDescent="0.3">
      <c r="B792" s="15"/>
    </row>
    <row r="793" spans="2:2" ht="15.75" customHeight="1" x14ac:dyDescent="0.3">
      <c r="B793" s="15"/>
    </row>
    <row r="794" spans="2:2" ht="15.75" customHeight="1" x14ac:dyDescent="0.3">
      <c r="B794" s="15"/>
    </row>
    <row r="795" spans="2:2" ht="15.75" customHeight="1" x14ac:dyDescent="0.3">
      <c r="B795" s="15"/>
    </row>
    <row r="796" spans="2:2" ht="15.75" customHeight="1" x14ac:dyDescent="0.3">
      <c r="B796" s="15"/>
    </row>
    <row r="797" spans="2:2" ht="15.75" customHeight="1" x14ac:dyDescent="0.3">
      <c r="B797" s="15"/>
    </row>
    <row r="798" spans="2:2" ht="15.75" customHeight="1" x14ac:dyDescent="0.3">
      <c r="B798" s="15"/>
    </row>
    <row r="799" spans="2:2" ht="15.75" customHeight="1" x14ac:dyDescent="0.3">
      <c r="B799" s="15"/>
    </row>
    <row r="800" spans="2:2" ht="15.75" customHeight="1" x14ac:dyDescent="0.3">
      <c r="B800" s="15"/>
    </row>
    <row r="801" spans="2:2" ht="15.75" customHeight="1" x14ac:dyDescent="0.3">
      <c r="B801" s="15"/>
    </row>
    <row r="802" spans="2:2" ht="15.75" customHeight="1" x14ac:dyDescent="0.3">
      <c r="B802" s="15"/>
    </row>
    <row r="803" spans="2:2" ht="15.75" customHeight="1" x14ac:dyDescent="0.3">
      <c r="B803" s="15"/>
    </row>
    <row r="804" spans="2:2" ht="15.75" customHeight="1" x14ac:dyDescent="0.3">
      <c r="B804" s="15"/>
    </row>
    <row r="805" spans="2:2" ht="15.75" customHeight="1" x14ac:dyDescent="0.3">
      <c r="B805" s="15"/>
    </row>
    <row r="806" spans="2:2" ht="15.75" customHeight="1" x14ac:dyDescent="0.3">
      <c r="B806" s="15"/>
    </row>
    <row r="807" spans="2:2" ht="15.75" customHeight="1" x14ac:dyDescent="0.3">
      <c r="B807" s="15"/>
    </row>
    <row r="808" spans="2:2" ht="15.75" customHeight="1" x14ac:dyDescent="0.3">
      <c r="B808" s="15"/>
    </row>
    <row r="809" spans="2:2" ht="15.75" customHeight="1" x14ac:dyDescent="0.3">
      <c r="B809" s="15"/>
    </row>
    <row r="810" spans="2:2" ht="15.75" customHeight="1" x14ac:dyDescent="0.3">
      <c r="B810" s="15"/>
    </row>
    <row r="811" spans="2:2" ht="15.75" customHeight="1" x14ac:dyDescent="0.3">
      <c r="B811" s="15"/>
    </row>
    <row r="812" spans="2:2" ht="15.75" customHeight="1" x14ac:dyDescent="0.3">
      <c r="B812" s="15"/>
    </row>
    <row r="813" spans="2:2" ht="15.75" customHeight="1" x14ac:dyDescent="0.3">
      <c r="B813" s="15"/>
    </row>
    <row r="814" spans="2:2" ht="15.75" customHeight="1" x14ac:dyDescent="0.3">
      <c r="B814" s="15"/>
    </row>
    <row r="815" spans="2:2" ht="15.75" customHeight="1" x14ac:dyDescent="0.3">
      <c r="B815" s="15"/>
    </row>
    <row r="816" spans="2:2" ht="15.75" customHeight="1" x14ac:dyDescent="0.3">
      <c r="B816" s="15"/>
    </row>
    <row r="817" spans="2:2" ht="15.75" customHeight="1" x14ac:dyDescent="0.3">
      <c r="B817" s="15"/>
    </row>
    <row r="818" spans="2:2" ht="15.75" customHeight="1" x14ac:dyDescent="0.3">
      <c r="B818" s="15"/>
    </row>
    <row r="819" spans="2:2" ht="15.75" customHeight="1" x14ac:dyDescent="0.3">
      <c r="B819" s="15"/>
    </row>
    <row r="820" spans="2:2" ht="15.75" customHeight="1" x14ac:dyDescent="0.3">
      <c r="B820" s="15"/>
    </row>
    <row r="821" spans="2:2" ht="15.75" customHeight="1" x14ac:dyDescent="0.3">
      <c r="B821" s="15"/>
    </row>
    <row r="822" spans="2:2" ht="15.75" customHeight="1" x14ac:dyDescent="0.3">
      <c r="B822" s="15"/>
    </row>
    <row r="823" spans="2:2" ht="15.75" customHeight="1" x14ac:dyDescent="0.3">
      <c r="B823" s="15"/>
    </row>
    <row r="824" spans="2:2" ht="15.75" customHeight="1" x14ac:dyDescent="0.3">
      <c r="B824" s="15"/>
    </row>
    <row r="825" spans="2:2" ht="15.75" customHeight="1" x14ac:dyDescent="0.3">
      <c r="B825" s="15"/>
    </row>
    <row r="826" spans="2:2" ht="15.75" customHeight="1" x14ac:dyDescent="0.3">
      <c r="B826" s="15"/>
    </row>
    <row r="827" spans="2:2" ht="15.75" customHeight="1" x14ac:dyDescent="0.3">
      <c r="B827" s="15"/>
    </row>
    <row r="828" spans="2:2" ht="15.75" customHeight="1" x14ac:dyDescent="0.3">
      <c r="B828" s="15"/>
    </row>
    <row r="829" spans="2:2" ht="15.75" customHeight="1" x14ac:dyDescent="0.3">
      <c r="B829" s="15"/>
    </row>
    <row r="830" spans="2:2" ht="15.75" customHeight="1" x14ac:dyDescent="0.3">
      <c r="B830" s="15"/>
    </row>
    <row r="831" spans="2:2" ht="15.75" customHeight="1" x14ac:dyDescent="0.3">
      <c r="B831" s="15"/>
    </row>
    <row r="832" spans="2:2" ht="15.75" customHeight="1" x14ac:dyDescent="0.3">
      <c r="B832" s="15"/>
    </row>
    <row r="833" spans="2:2" ht="15.75" customHeight="1" x14ac:dyDescent="0.3">
      <c r="B833" s="15"/>
    </row>
    <row r="834" spans="2:2" ht="15.75" customHeight="1" x14ac:dyDescent="0.3">
      <c r="B834" s="15"/>
    </row>
    <row r="835" spans="2:2" ht="15.75" customHeight="1" x14ac:dyDescent="0.3">
      <c r="B835" s="15"/>
    </row>
    <row r="836" spans="2:2" ht="15.75" customHeight="1" x14ac:dyDescent="0.3">
      <c r="B836" s="15"/>
    </row>
    <row r="837" spans="2:2" ht="15.75" customHeight="1" x14ac:dyDescent="0.3">
      <c r="B837" s="15"/>
    </row>
    <row r="838" spans="2:2" ht="15.75" customHeight="1" x14ac:dyDescent="0.3">
      <c r="B838" s="15"/>
    </row>
    <row r="839" spans="2:2" ht="15.75" customHeight="1" x14ac:dyDescent="0.3">
      <c r="B839" s="15"/>
    </row>
    <row r="840" spans="2:2" ht="15.75" customHeight="1" x14ac:dyDescent="0.3">
      <c r="B840" s="15"/>
    </row>
    <row r="841" spans="2:2" ht="15.75" customHeight="1" x14ac:dyDescent="0.3">
      <c r="B841" s="15"/>
    </row>
    <row r="842" spans="2:2" ht="15.75" customHeight="1" x14ac:dyDescent="0.3">
      <c r="B842" s="15"/>
    </row>
    <row r="843" spans="2:2" ht="15.75" customHeight="1" x14ac:dyDescent="0.3">
      <c r="B843" s="15"/>
    </row>
    <row r="844" spans="2:2" ht="15.75" customHeight="1" x14ac:dyDescent="0.3">
      <c r="B844" s="15"/>
    </row>
    <row r="845" spans="2:2" ht="15.75" customHeight="1" x14ac:dyDescent="0.3">
      <c r="B845" s="15"/>
    </row>
    <row r="846" spans="2:2" ht="15.75" customHeight="1" x14ac:dyDescent="0.3">
      <c r="B846" s="15"/>
    </row>
    <row r="847" spans="2:2" ht="15.75" customHeight="1" x14ac:dyDescent="0.3">
      <c r="B847" s="15"/>
    </row>
    <row r="848" spans="2:2" ht="15.75" customHeight="1" x14ac:dyDescent="0.3">
      <c r="B848" s="15"/>
    </row>
    <row r="849" spans="2:2" ht="15.75" customHeight="1" x14ac:dyDescent="0.3">
      <c r="B849" s="15"/>
    </row>
    <row r="850" spans="2:2" ht="15.75" customHeight="1" x14ac:dyDescent="0.3">
      <c r="B850" s="15"/>
    </row>
    <row r="851" spans="2:2" ht="15.75" customHeight="1" x14ac:dyDescent="0.3">
      <c r="B851" s="15"/>
    </row>
    <row r="852" spans="2:2" ht="15.75" customHeight="1" x14ac:dyDescent="0.3">
      <c r="B852" s="15"/>
    </row>
    <row r="853" spans="2:2" ht="15.75" customHeight="1" x14ac:dyDescent="0.3">
      <c r="B853" s="15"/>
    </row>
    <row r="854" spans="2:2" ht="15.75" customHeight="1" x14ac:dyDescent="0.3">
      <c r="B854" s="15"/>
    </row>
    <row r="855" spans="2:2" ht="15.75" customHeight="1" x14ac:dyDescent="0.3">
      <c r="B855" s="15"/>
    </row>
    <row r="856" spans="2:2" ht="15.75" customHeight="1" x14ac:dyDescent="0.3">
      <c r="B856" s="15"/>
    </row>
    <row r="857" spans="2:2" ht="15.75" customHeight="1" x14ac:dyDescent="0.3">
      <c r="B857" s="15"/>
    </row>
    <row r="858" spans="2:2" ht="15.75" customHeight="1" x14ac:dyDescent="0.3">
      <c r="B858" s="15"/>
    </row>
    <row r="859" spans="2:2" ht="15.75" customHeight="1" x14ac:dyDescent="0.3">
      <c r="B859" s="15"/>
    </row>
    <row r="860" spans="2:2" ht="15.75" customHeight="1" x14ac:dyDescent="0.3">
      <c r="B860" s="15"/>
    </row>
    <row r="861" spans="2:2" ht="15.75" customHeight="1" x14ac:dyDescent="0.3">
      <c r="B861" s="15"/>
    </row>
    <row r="862" spans="2:2" ht="15.75" customHeight="1" x14ac:dyDescent="0.3">
      <c r="B862" s="15"/>
    </row>
    <row r="863" spans="2:2" ht="15.75" customHeight="1" x14ac:dyDescent="0.3">
      <c r="B863" s="15"/>
    </row>
    <row r="864" spans="2:2" ht="15.75" customHeight="1" x14ac:dyDescent="0.3">
      <c r="B864" s="15"/>
    </row>
    <row r="865" spans="2:2" ht="15.75" customHeight="1" x14ac:dyDescent="0.3">
      <c r="B865" s="15"/>
    </row>
    <row r="866" spans="2:2" ht="15.75" customHeight="1" x14ac:dyDescent="0.3">
      <c r="B866" s="15"/>
    </row>
    <row r="867" spans="2:2" ht="15.75" customHeight="1" x14ac:dyDescent="0.3">
      <c r="B867" s="15"/>
    </row>
    <row r="868" spans="2:2" ht="15.75" customHeight="1" x14ac:dyDescent="0.3">
      <c r="B868" s="15"/>
    </row>
    <row r="869" spans="2:2" ht="15.75" customHeight="1" x14ac:dyDescent="0.3">
      <c r="B869" s="15"/>
    </row>
    <row r="870" spans="2:2" ht="15.75" customHeight="1" x14ac:dyDescent="0.3">
      <c r="B870" s="15"/>
    </row>
    <row r="871" spans="2:2" ht="15.75" customHeight="1" x14ac:dyDescent="0.3">
      <c r="B871" s="15"/>
    </row>
    <row r="872" spans="2:2" ht="15.75" customHeight="1" x14ac:dyDescent="0.3">
      <c r="B872" s="15"/>
    </row>
    <row r="873" spans="2:2" ht="15.75" customHeight="1" x14ac:dyDescent="0.3">
      <c r="B873" s="15"/>
    </row>
    <row r="874" spans="2:2" ht="15.75" customHeight="1" x14ac:dyDescent="0.3">
      <c r="B874" s="15"/>
    </row>
    <row r="875" spans="2:2" ht="15.75" customHeight="1" x14ac:dyDescent="0.3">
      <c r="B875" s="15"/>
    </row>
    <row r="876" spans="2:2" ht="15.75" customHeight="1" x14ac:dyDescent="0.3">
      <c r="B876" s="15"/>
    </row>
    <row r="877" spans="2:2" ht="15.75" customHeight="1" x14ac:dyDescent="0.3">
      <c r="B877" s="15"/>
    </row>
    <row r="878" spans="2:2" ht="15.75" customHeight="1" x14ac:dyDescent="0.3">
      <c r="B878" s="15"/>
    </row>
    <row r="879" spans="2:2" ht="15.75" customHeight="1" x14ac:dyDescent="0.3">
      <c r="B879" s="15"/>
    </row>
    <row r="880" spans="2:2" ht="15.75" customHeight="1" x14ac:dyDescent="0.3">
      <c r="B880" s="15"/>
    </row>
    <row r="881" spans="2:2" ht="15.75" customHeight="1" x14ac:dyDescent="0.3">
      <c r="B881" s="15"/>
    </row>
    <row r="882" spans="2:2" ht="15.75" customHeight="1" x14ac:dyDescent="0.3">
      <c r="B882" s="15"/>
    </row>
    <row r="883" spans="2:2" ht="15.75" customHeight="1" x14ac:dyDescent="0.3">
      <c r="B883" s="15"/>
    </row>
    <row r="884" spans="2:2" ht="15.75" customHeight="1" x14ac:dyDescent="0.3">
      <c r="B884" s="15"/>
    </row>
    <row r="885" spans="2:2" ht="15.75" customHeight="1" x14ac:dyDescent="0.3">
      <c r="B885" s="15"/>
    </row>
    <row r="886" spans="2:2" ht="15.75" customHeight="1" x14ac:dyDescent="0.3">
      <c r="B886" s="15"/>
    </row>
    <row r="887" spans="2:2" ht="15.75" customHeight="1" x14ac:dyDescent="0.3">
      <c r="B887" s="15"/>
    </row>
    <row r="888" spans="2:2" ht="15.75" customHeight="1" x14ac:dyDescent="0.3">
      <c r="B888" s="15"/>
    </row>
    <row r="889" spans="2:2" ht="15.75" customHeight="1" x14ac:dyDescent="0.3">
      <c r="B889" s="15"/>
    </row>
    <row r="890" spans="2:2" ht="15.75" customHeight="1" x14ac:dyDescent="0.3">
      <c r="B890" s="15"/>
    </row>
    <row r="891" spans="2:2" ht="15.75" customHeight="1" x14ac:dyDescent="0.3">
      <c r="B891" s="15"/>
    </row>
    <row r="892" spans="2:2" ht="15.75" customHeight="1" x14ac:dyDescent="0.3">
      <c r="B892" s="15"/>
    </row>
    <row r="893" spans="2:2" ht="15.75" customHeight="1" x14ac:dyDescent="0.3">
      <c r="B893" s="15"/>
    </row>
    <row r="894" spans="2:2" ht="15.75" customHeight="1" x14ac:dyDescent="0.3">
      <c r="B894" s="15"/>
    </row>
    <row r="895" spans="2:2" ht="15.75" customHeight="1" x14ac:dyDescent="0.3">
      <c r="B895" s="15"/>
    </row>
    <row r="896" spans="2:2" ht="15.75" customHeight="1" x14ac:dyDescent="0.3">
      <c r="B896" s="15"/>
    </row>
    <row r="897" spans="2:2" ht="15.75" customHeight="1" x14ac:dyDescent="0.3">
      <c r="B897" s="15"/>
    </row>
    <row r="898" spans="2:2" ht="15.75" customHeight="1" x14ac:dyDescent="0.3">
      <c r="B898" s="15"/>
    </row>
    <row r="899" spans="2:2" ht="15.75" customHeight="1" x14ac:dyDescent="0.3">
      <c r="B899" s="15"/>
    </row>
    <row r="900" spans="2:2" ht="15.75" customHeight="1" x14ac:dyDescent="0.3">
      <c r="B900" s="15"/>
    </row>
    <row r="901" spans="2:2" ht="15.75" customHeight="1" x14ac:dyDescent="0.3">
      <c r="B901" s="15"/>
    </row>
    <row r="902" spans="2:2" ht="15.75" customHeight="1" x14ac:dyDescent="0.3">
      <c r="B902" s="15"/>
    </row>
    <row r="903" spans="2:2" ht="15.75" customHeight="1" x14ac:dyDescent="0.3">
      <c r="B903" s="15"/>
    </row>
    <row r="904" spans="2:2" ht="15.75" customHeight="1" x14ac:dyDescent="0.3">
      <c r="B904" s="15"/>
    </row>
    <row r="905" spans="2:2" ht="15.75" customHeight="1" x14ac:dyDescent="0.3">
      <c r="B905" s="15"/>
    </row>
    <row r="906" spans="2:2" ht="15.75" customHeight="1" x14ac:dyDescent="0.3">
      <c r="B906" s="15"/>
    </row>
    <row r="907" spans="2:2" ht="15.75" customHeight="1" x14ac:dyDescent="0.3">
      <c r="B907" s="15"/>
    </row>
    <row r="908" spans="2:2" ht="15.75" customHeight="1" x14ac:dyDescent="0.3">
      <c r="B908" s="15"/>
    </row>
    <row r="909" spans="2:2" ht="15.75" customHeight="1" x14ac:dyDescent="0.3">
      <c r="B909" s="15"/>
    </row>
    <row r="910" spans="2:2" ht="15.75" customHeight="1" x14ac:dyDescent="0.3">
      <c r="B910" s="15"/>
    </row>
    <row r="911" spans="2:2" ht="15.75" customHeight="1" x14ac:dyDescent="0.3">
      <c r="B911" s="15"/>
    </row>
    <row r="912" spans="2:2" ht="15.75" customHeight="1" x14ac:dyDescent="0.3">
      <c r="B912" s="15"/>
    </row>
    <row r="913" spans="2:2" ht="15.75" customHeight="1" x14ac:dyDescent="0.3">
      <c r="B913" s="15"/>
    </row>
    <row r="914" spans="2:2" ht="15.75" customHeight="1" x14ac:dyDescent="0.3">
      <c r="B914" s="15"/>
    </row>
    <row r="915" spans="2:2" ht="15.75" customHeight="1" x14ac:dyDescent="0.3">
      <c r="B915" s="15"/>
    </row>
    <row r="916" spans="2:2" ht="15.75" customHeight="1" x14ac:dyDescent="0.3">
      <c r="B916" s="15"/>
    </row>
    <row r="917" spans="2:2" ht="15.75" customHeight="1" x14ac:dyDescent="0.3">
      <c r="B917" s="15"/>
    </row>
    <row r="918" spans="2:2" ht="15.75" customHeight="1" x14ac:dyDescent="0.3">
      <c r="B918" s="15"/>
    </row>
    <row r="919" spans="2:2" ht="15.75" customHeight="1" x14ac:dyDescent="0.3">
      <c r="B919" s="15"/>
    </row>
    <row r="920" spans="2:2" ht="15.75" customHeight="1" x14ac:dyDescent="0.3">
      <c r="B920" s="15"/>
    </row>
    <row r="921" spans="2:2" ht="15.75" customHeight="1" x14ac:dyDescent="0.3">
      <c r="B921" s="15"/>
    </row>
    <row r="922" spans="2:2" ht="15.75" customHeight="1" x14ac:dyDescent="0.3">
      <c r="B922" s="15"/>
    </row>
    <row r="923" spans="2:2" ht="15.75" customHeight="1" x14ac:dyDescent="0.3">
      <c r="B923" s="15"/>
    </row>
    <row r="924" spans="2:2" ht="15.75" customHeight="1" x14ac:dyDescent="0.3">
      <c r="B924" s="15"/>
    </row>
    <row r="925" spans="2:2" ht="15.75" customHeight="1" x14ac:dyDescent="0.3">
      <c r="B925" s="15"/>
    </row>
    <row r="926" spans="2:2" ht="15.75" customHeight="1" x14ac:dyDescent="0.3">
      <c r="B926" s="15"/>
    </row>
    <row r="927" spans="2:2" ht="15.75" customHeight="1" x14ac:dyDescent="0.3">
      <c r="B927" s="15"/>
    </row>
    <row r="928" spans="2:2" ht="15.75" customHeight="1" x14ac:dyDescent="0.3">
      <c r="B928" s="15"/>
    </row>
    <row r="929" spans="2:2" ht="15.75" customHeight="1" x14ac:dyDescent="0.3">
      <c r="B929" s="15"/>
    </row>
    <row r="930" spans="2:2" ht="15.75" customHeight="1" x14ac:dyDescent="0.3">
      <c r="B930" s="15"/>
    </row>
    <row r="931" spans="2:2" ht="15.75" customHeight="1" x14ac:dyDescent="0.3">
      <c r="B931" s="15"/>
    </row>
    <row r="932" spans="2:2" ht="15.75" customHeight="1" x14ac:dyDescent="0.3">
      <c r="B932" s="15"/>
    </row>
    <row r="933" spans="2:2" ht="15.75" customHeight="1" x14ac:dyDescent="0.3">
      <c r="B933" s="15"/>
    </row>
    <row r="934" spans="2:2" ht="15.75" customHeight="1" x14ac:dyDescent="0.3">
      <c r="B934" s="15"/>
    </row>
    <row r="935" spans="2:2" ht="15.75" customHeight="1" x14ac:dyDescent="0.3">
      <c r="B935" s="15"/>
    </row>
    <row r="936" spans="2:2" ht="15.75" customHeight="1" x14ac:dyDescent="0.3">
      <c r="B936" s="15"/>
    </row>
    <row r="937" spans="2:2" ht="15.75" customHeight="1" x14ac:dyDescent="0.3">
      <c r="B937" s="15"/>
    </row>
    <row r="938" spans="2:2" ht="15.75" customHeight="1" x14ac:dyDescent="0.3">
      <c r="B938" s="15"/>
    </row>
    <row r="939" spans="2:2" ht="15.75" customHeight="1" x14ac:dyDescent="0.3">
      <c r="B939" s="15"/>
    </row>
    <row r="940" spans="2:2" ht="15.75" customHeight="1" x14ac:dyDescent="0.3">
      <c r="B940" s="15"/>
    </row>
    <row r="941" spans="2:2" ht="15.75" customHeight="1" x14ac:dyDescent="0.3">
      <c r="B941" s="15"/>
    </row>
    <row r="942" spans="2:2" ht="15.75" customHeight="1" x14ac:dyDescent="0.3">
      <c r="B942" s="15"/>
    </row>
    <row r="943" spans="2:2" ht="15.75" customHeight="1" x14ac:dyDescent="0.3">
      <c r="B943" s="15"/>
    </row>
    <row r="944" spans="2:2" ht="15.75" customHeight="1" x14ac:dyDescent="0.3">
      <c r="B944" s="15"/>
    </row>
    <row r="945" spans="2:2" ht="15.75" customHeight="1" x14ac:dyDescent="0.3">
      <c r="B945" s="15"/>
    </row>
    <row r="946" spans="2:2" ht="15.75" customHeight="1" x14ac:dyDescent="0.3">
      <c r="B946" s="15"/>
    </row>
    <row r="947" spans="2:2" ht="15.75" customHeight="1" x14ac:dyDescent="0.3">
      <c r="B947" s="15"/>
    </row>
    <row r="948" spans="2:2" ht="15.75" customHeight="1" x14ac:dyDescent="0.3">
      <c r="B948" s="15"/>
    </row>
    <row r="949" spans="2:2" ht="15.75" customHeight="1" x14ac:dyDescent="0.3">
      <c r="B949" s="15"/>
    </row>
    <row r="950" spans="2:2" ht="15.75" customHeight="1" x14ac:dyDescent="0.3">
      <c r="B950" s="15"/>
    </row>
    <row r="951" spans="2:2" ht="15.75" customHeight="1" x14ac:dyDescent="0.3">
      <c r="B951" s="15"/>
    </row>
    <row r="952" spans="2:2" ht="15.75" customHeight="1" x14ac:dyDescent="0.3">
      <c r="B952" s="15"/>
    </row>
    <row r="953" spans="2:2" ht="15.75" customHeight="1" x14ac:dyDescent="0.3">
      <c r="B953" s="15"/>
    </row>
    <row r="954" spans="2:2" ht="15.75" customHeight="1" x14ac:dyDescent="0.3">
      <c r="B954" s="15"/>
    </row>
    <row r="955" spans="2:2" ht="15.75" customHeight="1" x14ac:dyDescent="0.3">
      <c r="B955" s="15"/>
    </row>
    <row r="956" spans="2:2" ht="15.75" customHeight="1" x14ac:dyDescent="0.3">
      <c r="B956" s="15"/>
    </row>
    <row r="957" spans="2:2" ht="15.75" customHeight="1" x14ac:dyDescent="0.3">
      <c r="B957" s="15"/>
    </row>
    <row r="958" spans="2:2" ht="15.75" customHeight="1" x14ac:dyDescent="0.3">
      <c r="B958" s="15"/>
    </row>
    <row r="959" spans="2:2" ht="15.75" customHeight="1" x14ac:dyDescent="0.3">
      <c r="B959" s="15"/>
    </row>
    <row r="960" spans="2:2" ht="15.75" customHeight="1" x14ac:dyDescent="0.3">
      <c r="B960" s="15"/>
    </row>
    <row r="961" spans="2:2" ht="15.75" customHeight="1" x14ac:dyDescent="0.3">
      <c r="B961" s="15"/>
    </row>
    <row r="962" spans="2:2" ht="15.75" customHeight="1" x14ac:dyDescent="0.3">
      <c r="B962" s="15"/>
    </row>
    <row r="963" spans="2:2" ht="15.75" customHeight="1" x14ac:dyDescent="0.3">
      <c r="B963" s="15"/>
    </row>
    <row r="964" spans="2:2" ht="15.75" customHeight="1" x14ac:dyDescent="0.3">
      <c r="B964" s="15"/>
    </row>
    <row r="965" spans="2:2" ht="15.75" customHeight="1" x14ac:dyDescent="0.3">
      <c r="B965" s="15"/>
    </row>
    <row r="966" spans="2:2" ht="15.75" customHeight="1" x14ac:dyDescent="0.3">
      <c r="B966" s="15"/>
    </row>
    <row r="967" spans="2:2" ht="15.75" customHeight="1" x14ac:dyDescent="0.3">
      <c r="B967" s="15"/>
    </row>
    <row r="968" spans="2:2" ht="15.75" customHeight="1" x14ac:dyDescent="0.3">
      <c r="B968" s="15"/>
    </row>
    <row r="969" spans="2:2" ht="15.75" customHeight="1" x14ac:dyDescent="0.3">
      <c r="B969" s="15"/>
    </row>
    <row r="970" spans="2:2" ht="15.75" customHeight="1" x14ac:dyDescent="0.3">
      <c r="B970" s="15"/>
    </row>
    <row r="971" spans="2:2" ht="15.75" customHeight="1" x14ac:dyDescent="0.3">
      <c r="B971" s="15"/>
    </row>
    <row r="972" spans="2:2" ht="15.75" customHeight="1" x14ac:dyDescent="0.3">
      <c r="B972" s="15"/>
    </row>
    <row r="973" spans="2:2" ht="15.75" customHeight="1" x14ac:dyDescent="0.3">
      <c r="B973" s="15"/>
    </row>
    <row r="974" spans="2:2" ht="15.75" customHeight="1" x14ac:dyDescent="0.3">
      <c r="B974" s="15"/>
    </row>
    <row r="975" spans="2:2" ht="15.75" customHeight="1" x14ac:dyDescent="0.3">
      <c r="B975" s="15"/>
    </row>
    <row r="976" spans="2:2" ht="15.75" customHeight="1" x14ac:dyDescent="0.3">
      <c r="B976" s="15"/>
    </row>
    <row r="977" spans="2:2" ht="15.75" customHeight="1" x14ac:dyDescent="0.3">
      <c r="B977" s="15"/>
    </row>
    <row r="978" spans="2:2" ht="15.75" customHeight="1" x14ac:dyDescent="0.3">
      <c r="B978" s="15"/>
    </row>
    <row r="979" spans="2:2" ht="15.75" customHeight="1" x14ac:dyDescent="0.3">
      <c r="B979" s="15"/>
    </row>
    <row r="980" spans="2:2" ht="15.75" customHeight="1" x14ac:dyDescent="0.3">
      <c r="B980" s="15"/>
    </row>
    <row r="981" spans="2:2" ht="15.75" customHeight="1" x14ac:dyDescent="0.3">
      <c r="B981" s="15"/>
    </row>
    <row r="982" spans="2:2" ht="15.75" customHeight="1" x14ac:dyDescent="0.3">
      <c r="B982" s="15"/>
    </row>
    <row r="983" spans="2:2" ht="15.75" customHeight="1" x14ac:dyDescent="0.3">
      <c r="B983" s="15"/>
    </row>
    <row r="984" spans="2:2" ht="15.75" customHeight="1" x14ac:dyDescent="0.3">
      <c r="B984" s="15"/>
    </row>
    <row r="985" spans="2:2" ht="15.75" customHeight="1" x14ac:dyDescent="0.3">
      <c r="B985" s="15"/>
    </row>
    <row r="986" spans="2:2" ht="15.75" customHeight="1" x14ac:dyDescent="0.3">
      <c r="B986" s="15"/>
    </row>
    <row r="987" spans="2:2" ht="15.75" customHeight="1" x14ac:dyDescent="0.3">
      <c r="B987" s="15"/>
    </row>
    <row r="988" spans="2:2" ht="15.75" customHeight="1" x14ac:dyDescent="0.3">
      <c r="B988" s="15"/>
    </row>
    <row r="989" spans="2:2" ht="15.75" customHeight="1" x14ac:dyDescent="0.3">
      <c r="B989" s="15"/>
    </row>
    <row r="990" spans="2:2" ht="15.75" customHeight="1" x14ac:dyDescent="0.3">
      <c r="B990" s="15"/>
    </row>
    <row r="991" spans="2:2" ht="15.75" customHeight="1" x14ac:dyDescent="0.3">
      <c r="B991" s="15"/>
    </row>
    <row r="992" spans="2:2" ht="15.75" customHeight="1" x14ac:dyDescent="0.3">
      <c r="B992" s="15"/>
    </row>
    <row r="993" spans="2:2" ht="15.75" customHeight="1" x14ac:dyDescent="0.3">
      <c r="B993" s="15"/>
    </row>
    <row r="994" spans="2:2" ht="15.75" customHeight="1" x14ac:dyDescent="0.3">
      <c r="B994" s="15"/>
    </row>
    <row r="995" spans="2:2" ht="15.75" customHeight="1" x14ac:dyDescent="0.3">
      <c r="B995" s="15"/>
    </row>
    <row r="996" spans="2:2" ht="15.75" customHeight="1" x14ac:dyDescent="0.3">
      <c r="B996" s="15"/>
    </row>
    <row r="997" spans="2:2" ht="15.75" customHeight="1" x14ac:dyDescent="0.3">
      <c r="B997" s="15"/>
    </row>
    <row r="998" spans="2:2" ht="15.75" customHeight="1" x14ac:dyDescent="0.3">
      <c r="B998" s="15"/>
    </row>
    <row r="999" spans="2:2" ht="15.75" customHeight="1" x14ac:dyDescent="0.3">
      <c r="B999" s="15"/>
    </row>
    <row r="1000" spans="2:2" ht="15.75" customHeight="1" x14ac:dyDescent="0.3">
      <c r="B1000" s="15"/>
    </row>
  </sheetData>
  <autoFilter ref="A1:B84" xr:uid="{00000000-0009-0000-0000-000002000000}"/>
  <sortState ref="A4:B87">
    <sortCondition ref="B3:B87"/>
  </sortState>
  <mergeCells count="20">
    <mergeCell ref="A1:A2"/>
    <mergeCell ref="E92:I97"/>
    <mergeCell ref="E2:M5"/>
    <mergeCell ref="S2:Z5"/>
    <mergeCell ref="S7:U7"/>
    <mergeCell ref="S11:U11"/>
    <mergeCell ref="S17:U36"/>
    <mergeCell ref="AG20:AJ21"/>
    <mergeCell ref="AH28:AI28"/>
    <mergeCell ref="AH29:AI29"/>
    <mergeCell ref="AC2:AH5"/>
    <mergeCell ref="AB9:AE9"/>
    <mergeCell ref="AG9:AK9"/>
    <mergeCell ref="AH30:AI30"/>
    <mergeCell ref="AH31:AI31"/>
    <mergeCell ref="AJ22:AJ23"/>
    <mergeCell ref="AG34:AH34"/>
    <mergeCell ref="AG42:AJ71"/>
    <mergeCell ref="AG22:AG23"/>
    <mergeCell ref="AH22:AI22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Показатели преступности России</vt:lpstr>
      <vt:lpstr>2020 г.</vt:lpstr>
      <vt:lpstr>2021 г.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 Ivan</dc:creator>
  <cp:lastModifiedBy>Павел</cp:lastModifiedBy>
  <dcterms:created xsi:type="dcterms:W3CDTF">2024-09-17T18:56:22Z</dcterms:created>
  <dcterms:modified xsi:type="dcterms:W3CDTF">2025-04-14T08:38:04Z</dcterms:modified>
</cp:coreProperties>
</file>